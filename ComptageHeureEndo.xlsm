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lban\OneDrive - Sopra Steria\Desktop\"/>
    </mc:Choice>
  </mc:AlternateContent>
  <bookViews>
    <workbookView xWindow="0" yWindow="0" windowWidth="38400" windowHeight="17730"/>
  </bookViews>
  <sheets>
    <sheet name="Formulaire" sheetId="1" r:id="rId1"/>
    <sheet name="Paramètre" sheetId="3" r:id="rId2"/>
    <sheet name="Détail des heures" sheetId="2" r:id="rId3"/>
    <sheet name="planning perso" sheetId="4" r:id="rId4"/>
  </sheets>
  <definedNames>
    <definedName name="Prénom">Paramètre!$D$2:$D$18</definedName>
    <definedName name="type">Paramètre!$B$3:$B$5</definedName>
  </definedNames>
  <calcPr calcId="162913"/>
  <pivotCaches>
    <pivotCache cacheId="10" r:id="rId5"/>
    <pivotCache cacheId="1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H2" i="2" s="1"/>
  <c r="G3" i="2"/>
  <c r="H3" i="2" s="1"/>
  <c r="I3" i="2" l="1"/>
  <c r="I2" i="2"/>
</calcChain>
</file>

<file path=xl/sharedStrings.xml><?xml version="1.0" encoding="utf-8"?>
<sst xmlns="http://schemas.openxmlformats.org/spreadsheetml/2006/main" count="574" uniqueCount="84">
  <si>
    <t>Prénom</t>
  </si>
  <si>
    <t xml:space="preserve">Date </t>
  </si>
  <si>
    <t xml:space="preserve">Type d'heure </t>
  </si>
  <si>
    <t>De :</t>
  </si>
  <si>
    <t>A :</t>
  </si>
  <si>
    <t>Annie</t>
  </si>
  <si>
    <t>Audrey</t>
  </si>
  <si>
    <t>Betty</t>
  </si>
  <si>
    <t>Camille</t>
  </si>
  <si>
    <t>Delphine.H</t>
  </si>
  <si>
    <t>Delphine.L</t>
  </si>
  <si>
    <t>Elodie</t>
  </si>
  <si>
    <t>Janette</t>
  </si>
  <si>
    <t>Justine</t>
  </si>
  <si>
    <t>Katia</t>
  </si>
  <si>
    <t>Laura.D</t>
  </si>
  <si>
    <t>Laura.L</t>
  </si>
  <si>
    <t>Léopoldine</t>
  </si>
  <si>
    <t>Magalie</t>
  </si>
  <si>
    <t>Mélanie</t>
  </si>
  <si>
    <t>Morgane</t>
  </si>
  <si>
    <t>Stephanie</t>
  </si>
  <si>
    <t>Type d'heure</t>
  </si>
  <si>
    <t>Heures débits</t>
  </si>
  <si>
    <t>Heures crédits</t>
  </si>
  <si>
    <t xml:space="preserve">De : </t>
  </si>
  <si>
    <t>COMPTAGE DES HEURES EN ENDOSCOPIE</t>
  </si>
  <si>
    <t>Date (JJ/MM/AAAA)</t>
  </si>
  <si>
    <t>Nombre d'heure</t>
  </si>
  <si>
    <t>Conversion DE</t>
  </si>
  <si>
    <t>(vide)</t>
  </si>
  <si>
    <t>Total général</t>
  </si>
  <si>
    <t>Heure en plus</t>
  </si>
  <si>
    <t>Heures supp majorées</t>
  </si>
  <si>
    <t>Prénoms</t>
  </si>
  <si>
    <t>Nombre de CA</t>
  </si>
  <si>
    <t>Nombre de CA posés</t>
  </si>
  <si>
    <t xml:space="preserve">Heure supp </t>
  </si>
  <si>
    <t>CA</t>
  </si>
  <si>
    <t>COMPTEUR D'HEURES SUPP MAJOREES</t>
  </si>
  <si>
    <r>
      <rPr>
        <b/>
        <sz val="11"/>
        <color theme="1"/>
        <rFont val="Calibri"/>
        <family val="2"/>
        <scheme val="minor"/>
      </rPr>
      <t xml:space="preserve">Pour remettre tout le monde a 30CA, cliquez ici  </t>
    </r>
    <r>
      <rPr>
        <b/>
        <sz val="14"/>
        <color theme="1"/>
        <rFont val="Calibri"/>
        <family val="2"/>
        <scheme val="minor"/>
      </rPr>
      <t>↓</t>
    </r>
  </si>
  <si>
    <t>penser à enlever les 3/4 d'heure de pause pour une grande journée</t>
  </si>
  <si>
    <t>Pour remettre toutes les heures supp à 0, cliquez ici ↓</t>
  </si>
  <si>
    <t>Colonne1</t>
  </si>
  <si>
    <t>janvier</t>
  </si>
  <si>
    <t>jour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</si>
  <si>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</si>
  <si>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</si>
  <si>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</si>
  <si>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</si>
  <si>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</si>
  <si>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</si>
  <si>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</si>
  <si>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</si>
  <si>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</si>
  <si>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</si>
  <si>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</si>
  <si>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jour2</t>
  </si>
  <si>
    <t>jour3</t>
  </si>
  <si>
    <t>jour4</t>
  </si>
  <si>
    <t>jour5</t>
  </si>
  <si>
    <t>jour6</t>
  </si>
  <si>
    <t>jour7</t>
  </si>
  <si>
    <t>jour8</t>
  </si>
  <si>
    <t>jour9</t>
  </si>
  <si>
    <t>jour10</t>
  </si>
  <si>
    <t>jour11</t>
  </si>
  <si>
    <t>jour12</t>
  </si>
  <si>
    <t>samedi</t>
  </si>
  <si>
    <t>dimanche</t>
  </si>
  <si>
    <t>lundi</t>
  </si>
  <si>
    <t>mardi</t>
  </si>
  <si>
    <t>mercredi</t>
  </si>
  <si>
    <t>jeudi</t>
  </si>
  <si>
    <t>vendredi</t>
  </si>
  <si>
    <t xml:space="preserve">mardi </t>
  </si>
  <si>
    <t>G</t>
  </si>
  <si>
    <t>M</t>
  </si>
  <si>
    <t>AM</t>
  </si>
  <si>
    <t>CONCERT</t>
  </si>
  <si>
    <t>G POSER CA</t>
  </si>
  <si>
    <t>M A POSER</t>
  </si>
  <si>
    <t>G CONCERT</t>
  </si>
  <si>
    <t>M PASSER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</si>
</sst>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h]:mm:ss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1B2D8"/>
        <bgColor indexed="64"/>
      </patternFill>
    </fill>
    <fill>
      <patternFill patternType="solid">
        <fgColor rgb="FF2F5F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5" fillId="9" borderId="0" applyNumberFormat="0" applyBorder="0" applyAlignment="0" applyProtection="0"/>
    <xf numFmtId="0" fontId="16" fillId="10" borderId="14" applyNumberFormat="0" applyAlignment="0" applyProtection="0"/>
  </cellStyleXfs>
  <cellXfs count="100">
    <xf numFmtId="0" fontId="0" fillId="0" borderId="0" xfId="0"/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20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center" vertical="center"/>
    </xf>
    <xf numFmtId="165" fontId="4" fillId="0" borderId="1" xfId="0" applyNumberFormat="1" applyFont="1" applyFill="1" applyBorder="1" applyAlignment="1">
      <alignment horizontal="right" vertical="center"/>
    </xf>
    <xf numFmtId="165" fontId="0" fillId="0" borderId="0" xfId="0" applyNumberFormat="1"/>
    <xf numFmtId="0" fontId="4" fillId="3" borderId="2" xfId="0" applyFont="1" applyFill="1" applyBorder="1" applyProtection="1">
      <protection locked="0"/>
    </xf>
    <xf numFmtId="0" fontId="4" fillId="3" borderId="3" xfId="0" applyFont="1" applyFill="1" applyBorder="1" applyProtection="1">
      <protection locked="0"/>
    </xf>
    <xf numFmtId="0" fontId="4" fillId="3" borderId="4" xfId="0" applyFont="1" applyFill="1" applyBorder="1" applyProtection="1">
      <protection locked="0"/>
    </xf>
    <xf numFmtId="0" fontId="4" fillId="3" borderId="5" xfId="0" applyFont="1" applyFill="1" applyBorder="1" applyProtection="1">
      <protection locked="0"/>
    </xf>
    <xf numFmtId="0" fontId="5" fillId="3" borderId="0" xfId="0" applyFont="1" applyFill="1" applyBorder="1" applyProtection="1">
      <protection locked="0"/>
    </xf>
    <xf numFmtId="0" fontId="4" fillId="3" borderId="0" xfId="0" applyFont="1" applyFill="1" applyBorder="1" applyProtection="1">
      <protection locked="0"/>
    </xf>
    <xf numFmtId="0" fontId="4" fillId="3" borderId="6" xfId="0" applyFont="1" applyFill="1" applyBorder="1" applyProtection="1">
      <protection locked="0"/>
    </xf>
    <xf numFmtId="0" fontId="4" fillId="3" borderId="7" xfId="0" applyFont="1" applyFill="1" applyBorder="1" applyProtection="1">
      <protection locked="0"/>
    </xf>
    <xf numFmtId="0" fontId="4" fillId="3" borderId="8" xfId="0" applyFont="1" applyFill="1" applyBorder="1" applyProtection="1">
      <protection locked="0"/>
    </xf>
    <xf numFmtId="0" fontId="4" fillId="3" borderId="9" xfId="0" applyFont="1" applyFill="1" applyBorder="1" applyProtection="1">
      <protection locked="0"/>
    </xf>
    <xf numFmtId="0" fontId="0" fillId="0" borderId="0" xfId="0" applyProtection="1"/>
    <xf numFmtId="0" fontId="1" fillId="0" borderId="0" xfId="0" applyFont="1" applyProtection="1"/>
    <xf numFmtId="165" fontId="0" fillId="0" borderId="0" xfId="0" applyNumberFormat="1" applyProtection="1"/>
    <xf numFmtId="0" fontId="0" fillId="0" borderId="0" xfId="0" applyBorder="1" applyProtection="1"/>
    <xf numFmtId="0" fontId="0" fillId="6" borderId="5" xfId="0" applyFill="1" applyBorder="1" applyProtection="1"/>
    <xf numFmtId="0" fontId="0" fillId="6" borderId="0" xfId="0" applyFill="1" applyBorder="1" applyProtection="1"/>
    <xf numFmtId="0" fontId="0" fillId="6" borderId="6" xfId="0" applyFill="1" applyBorder="1" applyProtection="1"/>
    <xf numFmtId="0" fontId="7" fillId="3" borderId="10" xfId="0" applyFont="1" applyFill="1" applyBorder="1" applyAlignment="1" applyProtection="1">
      <alignment horizontal="center"/>
    </xf>
    <xf numFmtId="0" fontId="0" fillId="6" borderId="7" xfId="0" applyFill="1" applyBorder="1" applyProtection="1"/>
    <xf numFmtId="0" fontId="0" fillId="6" borderId="8" xfId="0" applyFill="1" applyBorder="1" applyProtection="1"/>
    <xf numFmtId="0" fontId="0" fillId="6" borderId="9" xfId="0" applyFill="1" applyBorder="1" applyProtection="1"/>
    <xf numFmtId="0" fontId="0" fillId="0" borderId="0" xfId="0" applyFill="1" applyProtection="1"/>
    <xf numFmtId="0" fontId="8" fillId="3" borderId="10" xfId="0" applyFont="1" applyFill="1" applyBorder="1" applyAlignment="1" applyProtection="1">
      <alignment horizontal="center"/>
    </xf>
    <xf numFmtId="165" fontId="9" fillId="3" borderId="10" xfId="0" applyNumberFormat="1" applyFont="1" applyFill="1" applyBorder="1" applyAlignment="1" applyProtection="1">
      <alignment horizontal="center"/>
    </xf>
    <xf numFmtId="0" fontId="0" fillId="3" borderId="13" xfId="0" applyFill="1" applyBorder="1" applyAlignment="1" applyProtection="1">
      <alignment horizontal="center"/>
    </xf>
    <xf numFmtId="0" fontId="0" fillId="3" borderId="13" xfId="0" applyNumberFormat="1" applyFill="1" applyBorder="1" applyAlignment="1" applyProtection="1">
      <alignment horizontal="center"/>
    </xf>
    <xf numFmtId="0" fontId="0" fillId="3" borderId="12" xfId="0" applyFill="1" applyBorder="1" applyAlignment="1" applyProtection="1">
      <alignment horizontal="center"/>
    </xf>
    <xf numFmtId="0" fontId="0" fillId="3" borderId="12" xfId="0" applyNumberFormat="1" applyFill="1" applyBorder="1" applyAlignment="1" applyProtection="1">
      <alignment horizontal="center"/>
    </xf>
    <xf numFmtId="0" fontId="4" fillId="0" borderId="1" xfId="0" applyFont="1" applyFill="1" applyBorder="1" applyProtection="1"/>
    <xf numFmtId="14" fontId="4" fillId="0" borderId="1" xfId="0" applyNumberFormat="1" applyFont="1" applyFill="1" applyBorder="1" applyProtection="1"/>
    <xf numFmtId="0" fontId="7" fillId="5" borderId="0" xfId="0" applyFont="1" applyFill="1" applyBorder="1" applyAlignment="1" applyProtection="1">
      <alignment horizontal="left"/>
    </xf>
    <xf numFmtId="165" fontId="7" fillId="5" borderId="0" xfId="0" applyNumberFormat="1" applyFont="1" applyFill="1" applyBorder="1" applyProtection="1"/>
    <xf numFmtId="20" fontId="4" fillId="0" borderId="1" xfId="0" applyNumberFormat="1" applyFont="1" applyFill="1" applyBorder="1" applyProtection="1"/>
    <xf numFmtId="0" fontId="1" fillId="0" borderId="0" xfId="0" applyFont="1" applyBorder="1" applyProtection="1"/>
    <xf numFmtId="0" fontId="0" fillId="0" borderId="0" xfId="0" applyFill="1" applyBorder="1" applyProtection="1"/>
    <xf numFmtId="0" fontId="0" fillId="3" borderId="11" xfId="0" applyFill="1" applyBorder="1" applyAlignment="1" applyProtection="1">
      <alignment horizontal="center"/>
    </xf>
    <xf numFmtId="0" fontId="0" fillId="3" borderId="11" xfId="0" applyNumberFormat="1" applyFill="1" applyBorder="1" applyAlignment="1" applyProtection="1">
      <alignment horizontal="center"/>
    </xf>
    <xf numFmtId="0" fontId="7" fillId="5" borderId="0" xfId="0" applyFont="1" applyFill="1" applyBorder="1" applyAlignment="1" applyProtection="1">
      <alignment horizontal="center"/>
    </xf>
    <xf numFmtId="0" fontId="7" fillId="5" borderId="5" xfId="0" applyNumberFormat="1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0" fillId="11" borderId="12" xfId="0" applyNumberForma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3" fillId="7" borderId="0" xfId="1" applyAlignment="1">
      <alignment horizontal="center" vertical="center"/>
    </xf>
    <xf numFmtId="0" fontId="15" fillId="9" borderId="0" xfId="3" applyAlignment="1">
      <alignment horizontal="center" vertical="center"/>
    </xf>
    <xf numFmtId="0" fontId="16" fillId="10" borderId="14" xfId="4" applyAlignment="1">
      <alignment horizontal="center" vertical="center"/>
    </xf>
    <xf numFmtId="0" fontId="16" fillId="10" borderId="14" xfId="4"/>
    <xf numFmtId="0" fontId="0" fillId="0" borderId="0" xfId="0" applyAlignment="1">
      <alignment horizontal="center"/>
    </xf>
    <xf numFmtId="0" fontId="16" fillId="10" borderId="14" xfId="4" applyAlignment="1">
      <alignment horizontal="center"/>
    </xf>
    <xf numFmtId="0" fontId="13" fillId="7" borderId="14" xfId="1" applyBorder="1" applyAlignment="1">
      <alignment horizontal="center" vertical="center"/>
    </xf>
    <xf numFmtId="0" fontId="13" fillId="7" borderId="14" xfId="1" applyBorder="1" applyAlignment="1">
      <alignment horizontal="center"/>
    </xf>
    <xf numFmtId="0" fontId="15" fillId="9" borderId="14" xfId="3" applyBorder="1" applyAlignment="1">
      <alignment horizontal="center" vertical="center"/>
    </xf>
    <xf numFmtId="0" fontId="14" fillId="8" borderId="15" xfId="2" applyBorder="1" applyAlignment="1">
      <alignment horizontal="center" vertical="center"/>
    </xf>
    <xf numFmtId="0" fontId="14" fillId="8" borderId="0" xfId="2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6" borderId="2" xfId="0" applyFont="1" applyFill="1" applyBorder="1" applyAlignment="1" applyProtection="1">
      <alignment horizontal="center" vertical="center" wrapText="1"/>
    </xf>
    <xf numFmtId="0" fontId="1" fillId="6" borderId="3" xfId="0" applyFont="1" applyFill="1" applyBorder="1" applyAlignment="1" applyProtection="1">
      <alignment horizontal="center" vertical="center" wrapText="1"/>
    </xf>
    <xf numFmtId="0" fontId="1" fillId="6" borderId="4" xfId="0" applyFont="1" applyFill="1" applyBorder="1" applyAlignment="1" applyProtection="1">
      <alignment horizontal="center" vertical="center" wrapText="1"/>
    </xf>
    <xf numFmtId="0" fontId="1" fillId="6" borderId="5" xfId="0" applyFont="1" applyFill="1" applyBorder="1" applyAlignment="1" applyProtection="1">
      <alignment horizontal="center" vertical="center" wrapText="1"/>
    </xf>
    <xf numFmtId="0" fontId="1" fillId="6" borderId="0" xfId="0" applyFont="1" applyFill="1" applyBorder="1" applyAlignment="1" applyProtection="1">
      <alignment horizontal="center" vertical="center" wrapText="1"/>
    </xf>
    <xf numFmtId="0" fontId="1" fillId="6" borderId="6" xfId="0" applyFont="1" applyFill="1" applyBorder="1" applyAlignment="1" applyProtection="1">
      <alignment horizontal="center" vertical="center" wrapText="1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5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8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center" vertical="center" wrapText="1"/>
    </xf>
    <xf numFmtId="0" fontId="11" fillId="4" borderId="4" xfId="0" applyFont="1" applyFill="1" applyBorder="1" applyAlignment="1" applyProtection="1">
      <alignment horizontal="center" vertical="center" wrapText="1"/>
    </xf>
    <xf numFmtId="0" fontId="11" fillId="4" borderId="5" xfId="0" applyFont="1" applyFill="1" applyBorder="1" applyAlignment="1" applyProtection="1">
      <alignment horizontal="center" vertical="center" wrapText="1"/>
    </xf>
    <xf numFmtId="0" fontId="11" fillId="4" borderId="6" xfId="0" applyFont="1" applyFill="1" applyBorder="1" applyAlignment="1" applyProtection="1">
      <alignment horizontal="center" vertical="center" wrapText="1"/>
    </xf>
    <xf numFmtId="0" fontId="10" fillId="4" borderId="2" xfId="0" applyFont="1" applyFill="1" applyBorder="1" applyAlignment="1" applyProtection="1">
      <alignment horizontal="center" vertical="center"/>
    </xf>
    <xf numFmtId="0" fontId="10" fillId="4" borderId="4" xfId="0" applyFont="1" applyFill="1" applyBorder="1" applyAlignment="1" applyProtection="1">
      <alignment horizontal="center" vertical="center"/>
    </xf>
    <xf numFmtId="0" fontId="10" fillId="4" borderId="5" xfId="0" applyFont="1" applyFill="1" applyBorder="1" applyAlignment="1" applyProtection="1">
      <alignment horizontal="center" vertical="center"/>
    </xf>
    <xf numFmtId="0" fontId="10" fillId="4" borderId="6" xfId="0" applyFont="1" applyFill="1" applyBorder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 wrapText="1"/>
    </xf>
    <xf numFmtId="0" fontId="0" fillId="6" borderId="4" xfId="0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center" vertical="center" wrapText="1"/>
    </xf>
    <xf numFmtId="0" fontId="0" fillId="6" borderId="0" xfId="0" applyFill="1" applyBorder="1" applyAlignment="1" applyProtection="1">
      <alignment horizontal="center" vertical="center" wrapText="1"/>
    </xf>
    <xf numFmtId="0" fontId="0" fillId="6" borderId="6" xfId="0" applyFill="1" applyBorder="1" applyAlignment="1" applyProtection="1">
      <alignment horizontal="center" vertical="center" wrapText="1"/>
    </xf>
    <xf numFmtId="0" fontId="4" fillId="3" borderId="10" xfId="0" applyFont="1" applyFill="1" applyBorder="1" applyAlignment="1" applyProtection="1">
      <alignment horizontal="center"/>
    </xf>
    <xf numFmtId="165" fontId="4" fillId="3" borderId="10" xfId="0" applyNumberFormat="1" applyFont="1" applyFill="1" applyBorder="1" applyAlignment="1" applyProtection="1">
      <alignment horizontal="center"/>
    </xf>
  </cellXfs>
  <cellStyles count="5">
    <cellStyle name="Entrée" xfId="4" builtinId="20"/>
    <cellStyle name="Insatisfaisant" xfId="2" builtinId="27"/>
    <cellStyle name="Neutre" xfId="3" builtinId="28"/>
    <cellStyle name="Normal" xfId="0" builtinId="0"/>
    <cellStyle name="Satisfaisant" xfId="1" builtinId="26"/>
  </cellStyles>
  <dxfs count="22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</font>
      <numFmt numFmtId="165" formatCode="[h]:mm:ss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165" formatCode="[h]:mm:ss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  <numFmt numFmtId="165" formatCode="[h]:mm:ss;@"/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5" formatCode="hh:mm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z val="12"/>
      </font>
      <numFmt numFmtId="25" formatCode="hh:mm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z val="12"/>
      </font>
      <numFmt numFmtId="25" formatCode="hh:mm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z val="12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z val="12"/>
      </font>
      <numFmt numFmtId="19" formatCode="dd/mm/yyyy"/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z val="12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</font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/>
        <bottom/>
      </border>
    </dxf>
    <dxf>
      <font>
        <color theme="0"/>
      </font>
    </dxf>
    <dxf>
      <fill>
        <patternFill>
          <bgColor theme="0"/>
        </patternFill>
      </fill>
    </dxf>
    <dxf>
      <border>
        <left/>
        <right/>
        <top/>
        <bottom/>
      </border>
    </dxf>
    <dxf>
      <font>
        <color theme="0"/>
      </font>
    </dxf>
    <dxf>
      <fill>
        <patternFill>
          <bgColor theme="0"/>
        </patternFill>
      </fill>
    </dxf>
    <dxf>
      <font>
        <color rgb="FF91B2D8"/>
      </font>
    </dxf>
    <dxf>
      <font>
        <color rgb="FF91B2D8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font>
        <color theme="0"/>
      </font>
    </dxf>
    <dxf>
      <fill>
        <patternFill patternType="solid">
          <bgColor rgb="FF91B2D8"/>
        </patternFill>
      </fill>
    </dxf>
    <dxf>
      <fill>
        <patternFill patternType="solid">
          <bgColor rgb="FF91B2D8"/>
        </patternFill>
      </fill>
    </dxf>
    <dxf>
      <fill>
        <patternFill patternType="solid">
          <bgColor rgb="FF91B2D8"/>
        </patternFill>
      </fill>
    </dxf>
    <dxf>
      <fill>
        <patternFill patternType="solid">
          <bgColor rgb="FF91B2D8"/>
        </patternFill>
      </fill>
    </dxf>
    <dxf>
      <fill>
        <patternFill patternType="solid">
          <bgColor rgb="FF91B2D8"/>
        </patternFill>
      </fill>
    </dxf>
    <dxf>
      <fill>
        <patternFill patternType="solid">
          <bgColor rgb="FF91B2D8"/>
        </patternFill>
      </fill>
    </dxf>
    <dxf>
      <fill>
        <patternFill patternType="solid">
          <bgColor rgb="FF91B2D8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5" formatCode="[h]:mm:ss;@"/>
    </dxf>
    <dxf>
      <numFmt numFmtId="165" formatCode="[h]:mm:ss;@"/>
    </dxf>
    <dxf>
      <numFmt numFmtId="165" formatCode="[h]:mm:ss;@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right" readingOrder="0"/>
    </dxf>
    <dxf>
      <alignment horizontal="right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 style="thick">
          <color indexed="64"/>
        </vertical>
        <horizontal style="thick">
          <color indexed="64"/>
        </horizontal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 style="thick">
          <color indexed="64"/>
        </vertical>
        <horizontal style="thick">
          <color indexed="64"/>
        </horizontal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 style="thick">
          <color indexed="64"/>
        </vertical>
        <horizontal style="thick">
          <color indexed="64"/>
        </horizontal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 style="thick">
          <color indexed="64"/>
        </vertical>
        <horizontal style="thick">
          <color indexed="64"/>
        </horizontal>
      </border>
    </dxf>
    <dxf>
      <border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 style="thick">
          <color indexed="64"/>
        </vertical>
        <horizontal style="thick">
          <color indexed="64"/>
        </horizontal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color rgb="FF91B2D8"/>
      </font>
    </dxf>
    <dxf>
      <font>
        <color rgb="FF91B2D8"/>
      </font>
    </dxf>
    <dxf>
      <font>
        <color rgb="FF91B2D8"/>
      </font>
    </dxf>
    <dxf>
      <fill>
        <patternFill>
          <bgColor rgb="FF91B2D8"/>
        </patternFill>
      </fill>
    </dxf>
    <dxf>
      <fill>
        <patternFill>
          <bgColor rgb="FF91B2D8"/>
        </patternFill>
      </fill>
    </dxf>
    <dxf>
      <fill>
        <patternFill>
          <bgColor rgb="FF91B2D8"/>
        </patternFill>
      </fill>
    </dxf>
    <dxf>
      <fill>
        <patternFill>
          <bgColor rgb="FF91B2D8"/>
        </patternFill>
      </fill>
    </dxf>
    <dxf>
      <fill>
        <patternFill>
          <bgColor rgb="FF91B2D8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fill>
        <patternFill patternType="solid">
          <bgColor theme="0"/>
        </patternFill>
      </fill>
    </dxf>
    <dxf>
      <font>
        <color theme="0"/>
      </font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B3B3"/>
      <color rgb="FF91B2D8"/>
      <color rgb="FF2F5F94"/>
      <color rgb="FF7BC8FD"/>
      <color rgb="FF769FFA"/>
      <color rgb="FFD1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18</xdr:row>
          <xdr:rowOff>133350</xdr:rowOff>
        </xdr:from>
        <xdr:to>
          <xdr:col>5</xdr:col>
          <xdr:colOff>38100</xdr:colOff>
          <xdr:row>21</xdr:row>
          <xdr:rowOff>95250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7</xdr:row>
          <xdr:rowOff>85725</xdr:rowOff>
        </xdr:from>
        <xdr:to>
          <xdr:col>20</xdr:col>
          <xdr:colOff>1028700</xdr:colOff>
          <xdr:row>10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 le nombre de 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13</xdr:row>
          <xdr:rowOff>76200</xdr:rowOff>
        </xdr:from>
        <xdr:to>
          <xdr:col>20</xdr:col>
          <xdr:colOff>733425</xdr:colOff>
          <xdr:row>16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 le nombre d'heure supp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ban" refreshedDate="43609.700163425929" createdVersion="6" refreshedVersion="6" minRefreshableVersion="3" recordCount="17">
  <cacheSource type="worksheet">
    <worksheetSource name="Tableau3"/>
  </cacheSource>
  <cacheFields count="2">
    <cacheField name="Prénoms" numFmtId="0">
      <sharedItems count="17">
        <s v="Annie"/>
        <s v="Audrey"/>
        <s v="Betty"/>
        <s v="Camille"/>
        <s v="Delphine.H"/>
        <s v="Delphine.L"/>
        <s v="Elodie"/>
        <s v="Janette"/>
        <s v="Justine"/>
        <s v="Katia"/>
        <s v="Laura.D"/>
        <s v="Laura.L"/>
        <s v="Léopoldine"/>
        <s v="Magalie"/>
        <s v="Mélanie"/>
        <s v="Morgane"/>
        <s v="Stephanie"/>
      </sharedItems>
    </cacheField>
    <cacheField name="Nombre de CA" numFmtId="0">
      <sharedItems containsSemiMixedTypes="0" containsString="0" containsNumber="1" containsInteger="1" minValue="3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ban" refreshedDate="43609.700174999998" createdVersion="6" refreshedVersion="6" minRefreshableVersion="3" recordCount="2">
  <cacheSource type="worksheet">
    <worksheetSource name="Tableau2"/>
  </cacheSource>
  <cacheFields count="9">
    <cacheField name="Prénom" numFmtId="0">
      <sharedItems containsNonDate="0" containsBlank="1" count="18">
        <m/>
        <s v="Mélanie" u="1"/>
        <s v="Janette" u="1"/>
        <s v="Laura.D" u="1"/>
        <s v="Betty" u="1"/>
        <s v="Morgane" u="1"/>
        <s v="Stephanie" u="1"/>
        <s v="Magalie" u="1"/>
        <s v="Léopoldine" u="1"/>
        <s v="Annie" u="1"/>
        <s v="Laura.L" u="1"/>
        <s v="Camille" u="1"/>
        <s v="Justine" u="1"/>
        <s v="Delphine.H" u="1"/>
        <s v="Katia" u="1"/>
        <s v="Audrey" u="1"/>
        <s v="Elodie" u="1"/>
        <s v="Delphine.L" u="1"/>
      </sharedItems>
    </cacheField>
    <cacheField name="Date " numFmtId="14">
      <sharedItems containsNonDate="0" containsString="0" containsBlank="1"/>
    </cacheField>
    <cacheField name="Type d'heure " numFmtId="0">
      <sharedItems containsNonDate="0" containsString="0" containsBlank="1"/>
    </cacheField>
    <cacheField name="De :" numFmtId="20">
      <sharedItems containsSemiMixedTypes="0" containsNonDate="0" containsDate="1" containsString="0" minDate="1904-01-01T00:00:00" maxDate="1904-01-02T00:00:00"/>
    </cacheField>
    <cacheField name="A :" numFmtId="20">
      <sharedItems containsSemiMixedTypes="0" containsNonDate="0" containsDate="1" containsString="0" minDate="1904-01-01T00:00:00" maxDate="1904-01-02T00:00:00"/>
    </cacheField>
    <cacheField name="Conversion DE" numFmtId="20">
      <sharedItems containsNonDate="0" containsString="0" containsBlank="1"/>
    </cacheField>
    <cacheField name="Nombre d'heure" numFmtId="165">
      <sharedItems/>
    </cacheField>
    <cacheField name="Heure en plus" numFmtId="165">
      <sharedItems containsSemiMixedTypes="0" containsNonDate="0" containsDate="1" containsString="0" minDate="1904-01-01T00:00:00" maxDate="1904-01-02T00:00:00"/>
    </cacheField>
    <cacheField name="Heures supp majorées" numFmtId="165">
      <sharedItems containsSemiMixedTypes="0" containsNonDate="0" containsDate="1" containsString="0" minDate="1904-01-01T00:00:00" maxDate="1904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n v="30"/>
  </r>
  <r>
    <x v="1"/>
    <n v="30"/>
  </r>
  <r>
    <x v="2"/>
    <n v="30"/>
  </r>
  <r>
    <x v="3"/>
    <n v="30"/>
  </r>
  <r>
    <x v="4"/>
    <n v="30"/>
  </r>
  <r>
    <x v="5"/>
    <n v="30"/>
  </r>
  <r>
    <x v="6"/>
    <n v="30"/>
  </r>
  <r>
    <x v="7"/>
    <n v="30"/>
  </r>
  <r>
    <x v="8"/>
    <n v="30"/>
  </r>
  <r>
    <x v="9"/>
    <n v="30"/>
  </r>
  <r>
    <x v="10"/>
    <n v="30"/>
  </r>
  <r>
    <x v="11"/>
    <n v="30"/>
  </r>
  <r>
    <x v="12"/>
    <n v="30"/>
  </r>
  <r>
    <x v="13"/>
    <n v="30"/>
  </r>
  <r>
    <x v="14"/>
    <n v="30"/>
  </r>
  <r>
    <x v="15"/>
    <n v="30"/>
  </r>
  <r>
    <x v="16"/>
    <n v="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">
  <r>
    <x v="0"/>
    <m/>
    <m/>
    <d v="1904-01-01T00:00:00"/>
    <d v="1904-01-01T00:00:00"/>
    <m/>
    <b v="0"/>
    <d v="1904-01-01T00:00:00"/>
    <d v="1904-01-01T00:00:00"/>
  </r>
  <r>
    <x v="0"/>
    <m/>
    <m/>
    <d v="1904-01-01T00:00:00"/>
    <d v="1904-01-01T00:00:00"/>
    <m/>
    <b v="0"/>
    <d v="1904-01-01T00:00:00"/>
    <d v="1904-01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1" cacheId="1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Prénom">
  <location ref="M9:N27" firstHeaderRow="1" firstDataRow="1" firstDataCol="1"/>
  <pivotFields count="2">
    <pivotField axis="axisRow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CA" fld="1" baseField="0" baseItem="0"/>
  </dataFields>
  <formats count="54"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0" type="button" dataOnly="0" labelOnly="1" outline="0" axis="axisRow" fieldPosition="0"/>
    </format>
    <format dxfId="91">
      <pivotArea dataOnly="0" labelOnly="1" outline="0" axis="axisValues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  <format dxfId="87">
      <pivotArea field="0" type="button" dataOnly="0" labelOnly="1" outline="0" axis="axisRow" fieldPosition="0"/>
    </format>
    <format dxfId="86">
      <pivotArea dataOnly="0" labelOnly="1" outline="0" axis="axisValues" fieldPosition="0"/>
    </format>
    <format dxfId="85">
      <pivotArea dataOnly="0" labelOnly="1" outline="0" axis="axisValues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0" type="button" dataOnly="0" labelOnly="1" outline="0" axis="axisRow" fieldPosition="0"/>
    </format>
    <format dxfId="81">
      <pivotArea dataOnly="0" labelOnly="1" outline="0" axis="axisValues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  <format dxfId="78">
      <pivotArea dataOnly="0" labelOnly="1" outline="0" axis="axisValues" fieldPosition="0"/>
    </format>
    <format dxfId="77">
      <pivotArea dataOnly="0" labelOnly="1" outline="0" axis="axisValues" fieldPosition="0"/>
    </format>
    <format dxfId="76">
      <pivotArea dataOnly="0" labelOnly="1" outline="0" axis="axisValues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0" type="button" dataOnly="0" labelOnly="1" outline="0" axis="axisRow" fieldPosition="0"/>
    </format>
    <format dxfId="72">
      <pivotArea dataOnly="0" labelOnly="1" outline="0" axis="axisValues" fieldPosition="0"/>
    </format>
    <format dxfId="71">
      <pivotArea dataOnly="0" labelOnly="1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dataOnly="0" labelOnly="1" outline="0" axis="axisValues" fieldPosition="0"/>
    </format>
    <format dxfId="68">
      <pivotArea dataOnly="0" labelOnly="1" grandRow="1" outline="0" fieldPosition="0"/>
    </format>
    <format dxfId="67">
      <pivotArea grandRow="1" outline="0" collapsedLevelsAreSubtotals="1" fieldPosition="0"/>
    </format>
    <format dxfId="66">
      <pivotArea dataOnly="0" labelOnly="1" grandRow="1" outline="0" fieldPosition="0"/>
    </format>
    <format dxfId="65">
      <pivotArea dataOnly="0" labelOnly="1" grandRow="1" outline="0" fieldPosition="0"/>
    </format>
    <format dxfId="64">
      <pivotArea dataOnly="0" labelOnly="1" grandRow="1" outline="0" fieldPosition="0"/>
    </format>
    <format dxfId="63">
      <pivotArea grandRow="1" outline="0" collapsedLevelsAreSubtotals="1" fieldPosition="0"/>
    </format>
    <format dxfId="62">
      <pivotArea grandRow="1" outline="0" collapsedLevelsAreSubtotals="1" fieldPosition="0"/>
    </format>
    <format dxfId="61">
      <pivotArea grandRow="1" outline="0" collapsedLevelsAreSubtotals="1" fieldPosition="0"/>
    </format>
    <format dxfId="60">
      <pivotArea collapsedLevelsAreSubtotals="1" fieldPosition="0">
        <references count="1">
          <reference field="0" count="0"/>
        </references>
      </pivotArea>
    </format>
    <format dxfId="59">
      <pivotArea field="0" type="button" dataOnly="0" labelOnly="1" outline="0" axis="axisRow" fieldPosition="0"/>
    </format>
    <format dxfId="58">
      <pivotArea dataOnly="0" labelOnly="1" outline="0" axis="axisValues" fieldPosition="0"/>
    </format>
    <format dxfId="57">
      <pivotArea dataOnly="0" labelOnly="1" fieldPosition="0">
        <references count="1">
          <reference field="0" count="0"/>
        </references>
      </pivotArea>
    </format>
    <format dxfId="56">
      <pivotArea dataOnly="0" labelOnly="1" outline="0" axis="axisValues" fieldPosition="0"/>
    </format>
    <format dxfId="55">
      <pivotArea collapsedLevelsAreSubtotals="1" fieldPosition="0">
        <references count="1">
          <reference field="0" count="0"/>
        </references>
      </pivotArea>
    </format>
    <format dxfId="54">
      <pivotArea field="0" type="button" dataOnly="0" labelOnly="1" outline="0" axis="axisRow" fieldPosition="0"/>
    </format>
    <format dxfId="53">
      <pivotArea dataOnly="0" labelOnly="1" outline="0" axis="axisValues" fieldPosition="0"/>
    </format>
    <format dxfId="52">
      <pivotArea dataOnly="0" labelOnly="1" fieldPosition="0">
        <references count="1">
          <reference field="0" count="0"/>
        </references>
      </pivotArea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0" type="button" dataOnly="0" labelOnly="1" outline="0" axis="axisRow" fieldPosition="0"/>
    </format>
    <format dxfId="47">
      <pivotArea dataOnly="0" labelOnly="1" outline="0" axis="axisValues" fieldPosition="0"/>
    </format>
    <format dxfId="46">
      <pivotArea dataOnly="0" labelOnly="1" fieldPosition="0">
        <references count="1">
          <reference field="0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dataOnly="0" labelOnly="1" fieldPosition="0">
        <references count="1">
          <reference field="0" count="1">
            <x v="11"/>
          </reference>
        </references>
      </pivotArea>
    </format>
    <format dxfId="42">
      <pivotArea dataOnly="0" labelOnly="1" fieldPosition="0">
        <references count="1">
          <reference field="0" count="1">
            <x v="11"/>
          </reference>
        </references>
      </pivotArea>
    </format>
    <format dxfId="41">
      <pivotArea collapsedLevelsAreSubtotals="1" fieldPosition="0">
        <references count="1">
          <reference field="0" count="1"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3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Prénom">
  <location ref="J10:K12" firstHeaderRow="1" firstDataRow="1" firstDataCol="1"/>
  <pivotFields count="9">
    <pivotField axis="axisRow" showAll="0" sortType="ascending">
      <items count="19">
        <item m="1" x="9"/>
        <item m="1" x="15"/>
        <item m="1" x="4"/>
        <item m="1" x="11"/>
        <item m="1" x="13"/>
        <item m="1" x="17"/>
        <item m="1" x="16"/>
        <item m="1" x="2"/>
        <item m="1" x="12"/>
        <item m="1" x="14"/>
        <item m="1" x="3"/>
        <item m="1" x="10"/>
        <item m="1" x="8"/>
        <item m="1" x="7"/>
        <item m="1" x="1"/>
        <item m="1" x="5"/>
        <item m="1"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0"/>
  </rowFields>
  <rowItems count="2">
    <i>
      <x v="17"/>
    </i>
    <i t="grand">
      <x/>
    </i>
  </rowItems>
  <colItems count="1">
    <i/>
  </colItems>
  <dataFields count="1">
    <dataField name="Heure supp " fld="8" baseField="0" baseItem="0" numFmtId="165"/>
  </dataFields>
  <formats count="129">
    <format dxfId="223">
      <pivotArea type="all" dataOnly="0" outline="0" fieldPosition="0"/>
    </format>
    <format dxfId="222">
      <pivotArea outline="0" collapsedLevelsAreSubtotals="1" fieldPosition="0"/>
    </format>
    <format dxfId="221">
      <pivotArea field="0" type="button" dataOnly="0" labelOnly="1" outline="0" axis="axisRow" fieldPosition="0"/>
    </format>
    <format dxfId="220">
      <pivotArea dataOnly="0" labelOnly="1" outline="0" axis="axisValues" fieldPosition="0"/>
    </format>
    <format dxfId="219">
      <pivotArea dataOnly="0" labelOnly="1" fieldPosition="0">
        <references count="1">
          <reference field="0" count="0"/>
        </references>
      </pivotArea>
    </format>
    <format dxfId="218">
      <pivotArea dataOnly="0" labelOnly="1" grandRow="1" outline="0" fieldPosition="0"/>
    </format>
    <format dxfId="217">
      <pivotArea dataOnly="0" labelOnly="1" outline="0" axis="axisValues" fieldPosition="0"/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field="0" type="button" dataOnly="0" labelOnly="1" outline="0" axis="axisRow" fieldPosition="0"/>
    </format>
    <format dxfId="213">
      <pivotArea dataOnly="0" labelOnly="1" outline="0" axis="axisValues" fieldPosition="0"/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labelOnly="1" grandRow="1" outline="0" fieldPosition="0"/>
    </format>
    <format dxfId="210">
      <pivotArea dataOnly="0" labelOnly="1" outline="0" axis="axisValues" fieldPosition="0"/>
    </format>
    <format dxfId="209">
      <pivotArea field="0" type="button" dataOnly="0" labelOnly="1" outline="0" axis="axisRow" fieldPosition="0"/>
    </format>
    <format dxfId="208">
      <pivotArea field="0" type="button" dataOnly="0" labelOnly="1" outline="0" axis="axisRow" fieldPosition="0"/>
    </format>
    <format dxfId="207">
      <pivotArea dataOnly="0" labelOnly="1" outline="0" axis="axisValues" fieldPosition="0"/>
    </format>
    <format dxfId="206">
      <pivotArea dataOnly="0" labelOnly="1" outline="0" axis="axisValues" fieldPosition="0"/>
    </format>
    <format dxfId="205">
      <pivotArea dataOnly="0" labelOnly="1" outline="0" axis="axisValues" fieldPosition="0"/>
    </format>
    <format dxfId="204">
      <pivotArea dataOnly="0" labelOnly="1" outline="0" axis="axisValues" fieldPosition="0"/>
    </format>
    <format dxfId="203">
      <pivotArea dataOnly="0" labelOnly="1" grandRow="1" outline="0" fieldPosition="0"/>
    </format>
    <format dxfId="202">
      <pivotArea dataOnly="0" labelOnly="1" grandRow="1" outline="0" fieldPosition="0"/>
    </format>
    <format dxfId="201">
      <pivotArea grandRow="1" outline="0" collapsedLevelsAreSubtotals="1" fieldPosition="0"/>
    </format>
    <format dxfId="200">
      <pivotArea grandRow="1" outline="0" collapsedLevelsAreSubtotals="1" fieldPosition="0"/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0" type="button" dataOnly="0" labelOnly="1" outline="0" axis="axisRow" fieldPosition="0"/>
    </format>
    <format dxfId="196">
      <pivotArea dataOnly="0" labelOnly="1" outline="0" axis="axisValues" fieldPosition="0"/>
    </format>
    <format dxfId="195">
      <pivotArea dataOnly="0" labelOnly="1" fieldPosition="0">
        <references count="1">
          <reference field="0" count="0"/>
        </references>
      </pivotArea>
    </format>
    <format dxfId="194">
      <pivotArea dataOnly="0" labelOnly="1" grandRow="1" outline="0" fieldPosition="0"/>
    </format>
    <format dxfId="193">
      <pivotArea dataOnly="0" labelOnly="1" outline="0" axis="axisValues" fieldPosition="0"/>
    </format>
    <format dxfId="192">
      <pivotArea collapsedLevelsAreSubtotals="1" fieldPosition="0">
        <references count="1">
          <reference field="0" count="0"/>
        </references>
      </pivotArea>
    </format>
    <format dxfId="191">
      <pivotArea field="0" type="button" dataOnly="0" labelOnly="1" outline="0" axis="axisRow" fieldPosition="0"/>
    </format>
    <format dxfId="190">
      <pivotArea dataOnly="0" labelOnly="1" outline="0" axis="axisValues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outline="0" axis="axisValues" fieldPosition="0"/>
    </format>
    <format dxfId="187">
      <pivotArea field="0" type="button" dataOnly="0" labelOnly="1" outline="0" axis="axisRow" fieldPosition="0"/>
    </format>
    <format dxfId="186">
      <pivotArea dataOnly="0" labelOnly="1" outline="0" axis="axisValues" fieldPosition="0"/>
    </format>
    <format dxfId="185">
      <pivotArea dataOnly="0" labelOnly="1" outline="0" axis="axisValues" fieldPosition="0"/>
    </format>
    <format dxfId="184">
      <pivotArea collapsedLevelsAreSubtotals="1" fieldPosition="0">
        <references count="1">
          <reference field="0" count="0"/>
        </references>
      </pivotArea>
    </format>
    <format dxfId="183">
      <pivotArea dataOnly="0" labelOnly="1" fieldPosition="0">
        <references count="1">
          <reference field="0" count="0"/>
        </references>
      </pivotArea>
    </format>
    <format dxfId="182">
      <pivotArea collapsedLevelsAreSubtotals="1" fieldPosition="0">
        <references count="1">
          <reference field="0" count="0"/>
        </references>
      </pivotArea>
    </format>
    <format dxfId="181">
      <pivotArea field="0" type="button" dataOnly="0" labelOnly="1" outline="0" axis="axisRow" fieldPosition="0"/>
    </format>
    <format dxfId="180">
      <pivotArea dataOnly="0" labelOnly="1" outline="0" axis="axisValues" fieldPosition="0"/>
    </format>
    <format dxfId="179">
      <pivotArea dataOnly="0" labelOnly="1" fieldPosition="0">
        <references count="1">
          <reference field="0" count="0"/>
        </references>
      </pivotArea>
    </format>
    <format dxfId="178">
      <pivotArea dataOnly="0" labelOnly="1" outline="0" axis="axisValues" fieldPosition="0"/>
    </format>
    <format dxfId="177">
      <pivotArea dataOnly="0" fieldPosition="0">
        <references count="1">
          <reference field="0" count="0"/>
        </references>
      </pivotArea>
    </format>
    <format dxfId="176">
      <pivotArea collapsedLevelsAreSubtotals="1" fieldPosition="0">
        <references count="1">
          <reference field="0" count="0"/>
        </references>
      </pivotArea>
    </format>
    <format dxfId="175">
      <pivotArea field="0" type="button" dataOnly="0" labelOnly="1" outline="0" axis="axisRow" fieldPosition="0"/>
    </format>
    <format dxfId="174">
      <pivotArea dataOnly="0" labelOnly="1" outline="0" axis="axisValues" fieldPosition="0"/>
    </format>
    <format dxfId="173">
      <pivotArea dataOnly="0" labelOnly="1" fieldPosition="0">
        <references count="1">
          <reference field="0" count="0"/>
        </references>
      </pivotArea>
    </format>
    <format dxfId="172">
      <pivotArea dataOnly="0" labelOnly="1" outline="0" axis="axisValues" fieldPosition="0"/>
    </format>
    <format dxfId="171">
      <pivotArea collapsedLevelsAreSubtotals="1" fieldPosition="0">
        <references count="1">
          <reference field="0" count="0"/>
        </references>
      </pivotArea>
    </format>
    <format dxfId="170">
      <pivotArea field="0" type="button" dataOnly="0" labelOnly="1" outline="0" axis="axisRow" fieldPosition="0"/>
    </format>
    <format dxfId="169">
      <pivotArea dataOnly="0" labelOnly="1" outline="0" axis="axisValues" fieldPosition="0"/>
    </format>
    <format dxfId="168">
      <pivotArea dataOnly="0" labelOnly="1" fieldPosition="0">
        <references count="1">
          <reference field="0" count="0"/>
        </references>
      </pivotArea>
    </format>
    <format dxfId="167">
      <pivotArea dataOnly="0" labelOnly="1" outline="0" axis="axisValues" fieldPosition="0"/>
    </format>
    <format dxfId="166">
      <pivotArea collapsedLevelsAreSubtotals="1" fieldPosition="0">
        <references count="1">
          <reference field="0" count="8">
            <x v="1"/>
            <x v="2"/>
            <x v="3"/>
            <x v="4"/>
            <x v="6"/>
            <x v="7"/>
            <x v="11"/>
            <x v="17"/>
          </reference>
        </references>
      </pivotArea>
    </format>
    <format dxfId="165">
      <pivotArea field="0" type="button" dataOnly="0" labelOnly="1" outline="0" axis="axisRow" fieldPosition="0"/>
    </format>
    <format dxfId="164">
      <pivotArea dataOnly="0" labelOnly="1" outline="0" axis="axisValues" fieldPosition="0"/>
    </format>
    <format dxfId="163">
      <pivotArea dataOnly="0" labelOnly="1" fieldPosition="0">
        <references count="1">
          <reference field="0" count="8">
            <x v="1"/>
            <x v="2"/>
            <x v="3"/>
            <x v="4"/>
            <x v="6"/>
            <x v="7"/>
            <x v="11"/>
            <x v="17"/>
          </reference>
        </references>
      </pivotArea>
    </format>
    <format dxfId="162">
      <pivotArea dataOnly="0" labelOnly="1" outline="0" axis="axisValues" fieldPosition="0"/>
    </format>
    <format dxfId="161">
      <pivotArea collapsedLevelsAreSubtotals="1" fieldPosition="0">
        <references count="1">
          <reference field="0" count="2">
            <x v="14"/>
            <x v="15"/>
          </reference>
        </references>
      </pivotArea>
    </format>
    <format dxfId="160">
      <pivotArea dataOnly="0" labelOnly="1" fieldPosition="0">
        <references count="1">
          <reference field="0" count="2">
            <x v="14"/>
            <x v="15"/>
          </reference>
        </references>
      </pivotArea>
    </format>
    <format dxfId="159">
      <pivotArea dataOnly="0" labelOnly="1" fieldPosition="0">
        <references count="1">
          <reference field="0" count="0"/>
        </references>
      </pivotArea>
    </format>
    <format dxfId="158">
      <pivotArea collapsedLevelsAreSubtotals="1" fieldPosition="0">
        <references count="1">
          <reference field="0" count="4">
            <x v="11"/>
            <x v="14"/>
            <x v="15"/>
            <x v="16"/>
          </reference>
        </references>
      </pivotArea>
    </format>
    <format dxfId="157">
      <pivotArea grandRow="1" outline="0" collapsedLevelsAreSubtotals="1" fieldPosition="0"/>
    </format>
    <format dxfId="156">
      <pivotArea dataOnly="0" labelOnly="1" fieldPosition="0">
        <references count="1">
          <reference field="0" count="4">
            <x v="11"/>
            <x v="14"/>
            <x v="15"/>
            <x v="16"/>
          </reference>
        </references>
      </pivotArea>
    </format>
    <format dxfId="155">
      <pivotArea dataOnly="0" labelOnly="1" grandRow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0" type="button" dataOnly="0" labelOnly="1" outline="0" axis="axisRow" fieldPosition="0"/>
    </format>
    <format dxfId="151">
      <pivotArea dataOnly="0" labelOnly="1" outline="0" axis="axisValues" fieldPosition="0"/>
    </format>
    <format dxfId="150">
      <pivotArea dataOnly="0" labelOnly="1" fieldPosition="0">
        <references count="1">
          <reference field="0" count="0"/>
        </references>
      </pivotArea>
    </format>
    <format dxfId="149">
      <pivotArea dataOnly="0" labelOnly="1" grandRow="1" outline="0" fieldPosition="0"/>
    </format>
    <format dxfId="148">
      <pivotArea dataOnly="0" labelOnly="1" outline="0" axis="axisValues" fieldPosition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0" type="button" dataOnly="0" labelOnly="1" outline="0" axis="axisRow" fieldPosition="0"/>
    </format>
    <format dxfId="144">
      <pivotArea dataOnly="0" labelOnly="1" outline="0" axis="axisValues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dataOnly="0" labelOnly="1" outline="0" axis="axisValues" fieldPosition="0"/>
    </format>
    <format dxfId="140">
      <pivotArea collapsedLevelsAreSubtotals="1" fieldPosition="0">
        <references count="1">
          <reference field="0" count="0"/>
        </references>
      </pivotArea>
    </format>
    <format dxfId="139">
      <pivotArea field="0" type="button" dataOnly="0" labelOnly="1" outline="0" axis="axisRow" fieldPosition="0"/>
    </format>
    <format dxfId="138">
      <pivotArea dataOnly="0" labelOnly="1" outline="0" axis="axisValues" fieldPosition="0"/>
    </format>
    <format dxfId="137">
      <pivotArea dataOnly="0" labelOnly="1" fieldPosition="0">
        <references count="1">
          <reference field="0" count="0"/>
        </references>
      </pivotArea>
    </format>
    <format dxfId="136">
      <pivotArea dataOnly="0" labelOnly="1" outline="0" axis="axisValues" fieldPosition="0"/>
    </format>
    <format dxfId="135">
      <pivotArea field="0" type="button" dataOnly="0" labelOnly="1" outline="0" axis="axisRow" fieldPosition="0"/>
    </format>
    <format dxfId="134">
      <pivotArea field="0" type="button" dataOnly="0" labelOnly="1" outline="0" axis="axisRow" fieldPosition="0"/>
    </format>
    <format dxfId="133">
      <pivotArea dataOnly="0" labelOnly="1" outline="0" axis="axisValues" fieldPosition="0"/>
    </format>
    <format dxfId="132">
      <pivotArea dataOnly="0" labelOnly="1" outline="0" axis="axisValues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fieldPosition="0">
        <references count="1">
          <reference field="0" count="0"/>
        </references>
      </pivotArea>
    </format>
    <format dxfId="128">
      <pivotArea collapsedLevelsAreSubtotals="1" fieldPosition="0">
        <references count="1">
          <reference field="0" count="0"/>
        </references>
      </pivotArea>
    </format>
    <format dxfId="127">
      <pivotArea collapsedLevelsAreSubtotals="1" fieldPosition="0">
        <references count="1">
          <reference field="0" count="0"/>
        </references>
      </pivotArea>
    </format>
    <format dxfId="126">
      <pivotArea field="0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outline="0" axis="axisValues" fieldPosition="0"/>
    </format>
    <format dxfId="123">
      <pivotArea collapsedLevelsAreSubtotals="1" fieldPosition="0">
        <references count="1">
          <reference field="0" count="0"/>
        </references>
      </pivotArea>
    </format>
    <format dxfId="122">
      <pivotArea field="0" type="button" dataOnly="0" labelOnly="1" outline="0" axis="axisRow" fieldPosition="0"/>
    </format>
    <format dxfId="121">
      <pivotArea dataOnly="0" labelOnly="1" outline="0" axis="axisValues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outline="0" axis="axisValues" fieldPosition="0"/>
    </format>
    <format dxfId="118">
      <pivotArea collapsedLevelsAreSubtotals="1" fieldPosition="0">
        <references count="1">
          <reference field="0" count="0"/>
        </references>
      </pivotArea>
    </format>
    <format dxfId="117">
      <pivotArea field="0" type="button" dataOnly="0" labelOnly="1" outline="0" axis="axisRow" fieldPosition="0"/>
    </format>
    <format dxfId="116">
      <pivotArea dataOnly="0" labelOnly="1" outline="0" axis="axisValues" fieldPosition="0"/>
    </format>
    <format dxfId="115">
      <pivotArea dataOnly="0" labelOnly="1" fieldPosition="0">
        <references count="1">
          <reference field="0" count="0"/>
        </references>
      </pivotArea>
    </format>
    <format dxfId="114">
      <pivotArea dataOnly="0" labelOnly="1" outline="0" axis="axisValues" fieldPosition="0"/>
    </format>
    <format dxfId="113">
      <pivotArea outline="0" collapsedLevelsAreSubtotals="1" fieldPosition="0"/>
    </format>
    <format dxfId="112">
      <pivotArea dataOnly="0" labelOnly="1" outline="0" axis="axisValues" fieldPosition="0"/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0" type="button" dataOnly="0" labelOnly="1" outline="0" axis="axisRow" fieldPosition="0"/>
    </format>
    <format dxfId="107">
      <pivotArea dataOnly="0" labelOnly="1" outline="0" axis="axisValues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dataOnly="0" labelOnly="1" outline="0" axis="axisValues" fieldPosition="0"/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0" type="button" dataOnly="0" labelOnly="1" outline="0" axis="axisRow" fieldPosition="0"/>
    </format>
    <format dxfId="100">
      <pivotArea dataOnly="0" labelOnly="1" outline="0" axis="axisValues" fieldPosition="0"/>
    </format>
    <format dxfId="99">
      <pivotArea dataOnly="0" labelOnly="1" fieldPosition="0">
        <references count="1">
          <reference field="0" count="0"/>
        </references>
      </pivotArea>
    </format>
    <format dxfId="98">
      <pivotArea dataOnly="0" labelOnly="1" grandRow="1" outline="0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0" count="1">
            <x v="11"/>
          </reference>
        </references>
      </pivotArea>
    </format>
    <format dxfId="95">
      <pivotArea collapsedLevelsAreSubtotals="1" fieldPosition="0">
        <references count="1">
          <reference field="0" count="1"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au2" displayName="Tableau2" ref="A1:I3" totalsRowShown="0" headerRowDxfId="40" dataDxfId="39">
  <autoFilter ref="A1:I3"/>
  <tableColumns count="9">
    <tableColumn id="1" name="Prénom" dataDxfId="38"/>
    <tableColumn id="2" name="Date " dataDxfId="37"/>
    <tableColumn id="3" name="Type d'heure " dataDxfId="36"/>
    <tableColumn id="4" name="De :" dataDxfId="35"/>
    <tableColumn id="5" name="A :" dataDxfId="34"/>
    <tableColumn id="8" name="Conversion DE" dataDxfId="33"/>
    <tableColumn id="7" name="Nombre d'heure" dataDxfId="32">
      <calculatedColumnFormula>IF(Tableau2[[#This Row],[Type d''heure ]]="Heures crédits",Tableau2[[#This Row],[A :]]-Tableau2[[#This Row],[De :]],IF(Tableau2[[#This Row],[Type d''heure ]]="Heures débits",Tableau2[[#This Row],[De :]]-Tableau2[[#This Row],[A :]]))</calculatedColumnFormula>
    </tableColumn>
    <tableColumn id="9" name="Heure en plus" dataDxfId="31">
      <calculatedColumnFormula>IF(Tableau2[[#This Row],[Nombre d''heure]]&gt;0,Tableau2[[#This Row],[Nombre d''heure]]*0.25)</calculatedColumnFormula>
    </tableColumn>
    <tableColumn id="10" name="Heures supp majorées" dataDxfId="30">
      <calculatedColumnFormula>SUM(Tableau2[[#This Row],[Nombre d''heure]],Tableau2[[#This Row],[Heure en plus]])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M1:N18" totalsRowShown="0" headerRowDxfId="29">
  <autoFilter ref="M1:N18"/>
  <tableColumns count="2">
    <tableColumn id="1" name="Prénoms" dataDxfId="28"/>
    <tableColumn id="2" name="Nombre de CA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au6" displayName="Tableau6" ref="A1:Y35" totalsRowShown="0" headerRowDxfId="26" dataDxfId="25">
  <autoFilter ref="A1:Y35"/>
  <tableColumns count="25">
    <tableColumn id="1" name="Colonne1" dataDxfId="24"/>
    <tableColumn id="2" name="jour" dataDxfId="23"/>
    <tableColumn id="3" name="janvier" dataDxfId="22"/>
    <tableColumn id="4" name="jour2" dataDxfId="21"/>
    <tableColumn id="5" name="fevrier" dataDxfId="20"/>
    <tableColumn id="6" name="jour3" dataDxfId="19"/>
    <tableColumn id="7" name="mars" dataDxfId="18"/>
    <tableColumn id="8" name="jour4" dataDxfId="17"/>
    <tableColumn id="9" name="avril" dataDxfId="16"/>
    <tableColumn id="10" name="jour5" dataDxfId="15"/>
    <tableColumn id="11" name="mai" dataDxfId="14"/>
    <tableColumn id="12" name="jour6" dataDxfId="13"/>
    <tableColumn id="13" name="juin" dataDxfId="12"/>
    <tableColumn id="14" name="jour7" dataDxfId="11"/>
    <tableColumn id="15" name="juillet" dataDxfId="10"/>
    <tableColumn id="16" name="jour8" dataDxfId="9"/>
    <tableColumn id="17" name="aout" dataDxfId="8"/>
    <tableColumn id="18" name="jour9" dataDxfId="7"/>
    <tableColumn id="19" name="septembre" dataDxfId="6"/>
    <tableColumn id="20" name="jour10" dataDxfId="5"/>
    <tableColumn id="21" name="octobre" dataDxfId="4"/>
    <tableColumn id="22" name="jour11" dataDxfId="3"/>
    <tableColumn id="23" name="novembre" dataDxfId="2"/>
    <tableColumn id="24" name="jour12" dataDxfId="1"/>
    <tableColumn id="25" name="decembre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5:V29"/>
  <sheetViews>
    <sheetView showGridLines="0" tabSelected="1" workbookViewId="0">
      <selection activeCell="W31" sqref="W31"/>
    </sheetView>
  </sheetViews>
  <sheetFormatPr baseColWidth="10" defaultRowHeight="15" x14ac:dyDescent="0.25"/>
  <cols>
    <col min="1" max="1" width="11.42578125" style="25"/>
    <col min="2" max="2" width="11.42578125" style="25" customWidth="1"/>
    <col min="3" max="3" width="20.7109375" style="25" customWidth="1"/>
    <col min="4" max="4" width="11.42578125" style="25" customWidth="1"/>
    <col min="5" max="5" width="20.7109375" style="25" customWidth="1"/>
    <col min="6" max="6" width="11.42578125" style="25" customWidth="1"/>
    <col min="7" max="7" width="20.7109375" style="25" customWidth="1"/>
    <col min="8" max="9" width="11.42578125" style="25"/>
    <col min="10" max="10" width="13.28515625" style="25" customWidth="1"/>
    <col min="11" max="11" width="12.7109375" style="27" customWidth="1"/>
    <col min="12" max="12" width="10" style="25" customWidth="1"/>
    <col min="13" max="13" width="12.5703125" style="25" customWidth="1"/>
    <col min="14" max="14" width="4" style="25" customWidth="1"/>
    <col min="15" max="15" width="19.140625" style="25" customWidth="1"/>
    <col min="16" max="17" width="5.28515625" style="25" customWidth="1"/>
    <col min="18" max="20" width="4.5703125" style="25" customWidth="1"/>
    <col min="21" max="21" width="17.28515625" style="25" customWidth="1"/>
    <col min="22" max="22" width="21.7109375" style="25" customWidth="1"/>
    <col min="23" max="16384" width="11.42578125" style="25"/>
  </cols>
  <sheetData>
    <row r="5" spans="1:22" ht="15.75" thickBot="1" x14ac:dyDescent="0.3">
      <c r="B5" s="26"/>
    </row>
    <row r="6" spans="1:22" ht="15.75" thickBot="1" x14ac:dyDescent="0.3">
      <c r="B6" s="28"/>
      <c r="Q6" s="70" t="s">
        <v>40</v>
      </c>
      <c r="R6" s="93"/>
      <c r="S6" s="93"/>
      <c r="T6" s="93"/>
      <c r="U6" s="94"/>
    </row>
    <row r="7" spans="1:22" ht="15" customHeight="1" x14ac:dyDescent="0.25">
      <c r="B7" s="76" t="s">
        <v>26</v>
      </c>
      <c r="C7" s="77"/>
      <c r="D7" s="77"/>
      <c r="E7" s="77"/>
      <c r="F7" s="77"/>
      <c r="G7" s="77"/>
      <c r="H7" s="78"/>
      <c r="J7" s="85" t="s">
        <v>39</v>
      </c>
      <c r="K7" s="86"/>
      <c r="M7" s="89" t="s">
        <v>38</v>
      </c>
      <c r="N7" s="90"/>
      <c r="Q7" s="95"/>
      <c r="R7" s="96"/>
      <c r="S7" s="96"/>
      <c r="T7" s="96"/>
      <c r="U7" s="97"/>
    </row>
    <row r="8" spans="1:22" ht="15" customHeight="1" thickBot="1" x14ac:dyDescent="0.3">
      <c r="B8" s="79"/>
      <c r="C8" s="80"/>
      <c r="D8" s="80"/>
      <c r="E8" s="80"/>
      <c r="F8" s="80"/>
      <c r="G8" s="80"/>
      <c r="H8" s="81"/>
      <c r="J8" s="87"/>
      <c r="K8" s="88"/>
      <c r="M8" s="91"/>
      <c r="N8" s="92"/>
      <c r="Q8" s="29"/>
      <c r="R8" s="30"/>
      <c r="S8" s="30"/>
      <c r="T8" s="30"/>
      <c r="U8" s="31"/>
    </row>
    <row r="9" spans="1:22" ht="15.75" customHeight="1" thickBot="1" x14ac:dyDescent="0.3">
      <c r="B9" s="82"/>
      <c r="C9" s="83"/>
      <c r="D9" s="83"/>
      <c r="E9" s="83"/>
      <c r="F9" s="83"/>
      <c r="G9" s="83"/>
      <c r="H9" s="84"/>
      <c r="J9" s="87"/>
      <c r="K9" s="88"/>
      <c r="M9" s="32" t="s">
        <v>0</v>
      </c>
      <c r="N9" s="32" t="s">
        <v>38</v>
      </c>
      <c r="Q9" s="33"/>
      <c r="R9" s="34"/>
      <c r="S9" s="34"/>
      <c r="T9" s="34"/>
      <c r="U9" s="35"/>
    </row>
    <row r="10" spans="1:22" ht="16.5" thickBot="1" x14ac:dyDescent="0.3">
      <c r="A10" s="36"/>
      <c r="B10" s="15"/>
      <c r="C10" s="16"/>
      <c r="D10" s="16"/>
      <c r="E10" s="16"/>
      <c r="F10" s="16"/>
      <c r="G10" s="16"/>
      <c r="H10" s="17"/>
      <c r="J10" s="37" t="s">
        <v>0</v>
      </c>
      <c r="K10" s="38" t="s">
        <v>37</v>
      </c>
      <c r="M10" s="39" t="s">
        <v>5</v>
      </c>
      <c r="N10" s="40">
        <v>30</v>
      </c>
      <c r="O10" s="36"/>
      <c r="P10" s="36"/>
      <c r="Q10" s="36"/>
      <c r="R10" s="36"/>
      <c r="S10" s="36"/>
      <c r="T10" s="36"/>
      <c r="U10" s="36"/>
      <c r="V10" s="36"/>
    </row>
    <row r="11" spans="1:22" ht="16.5" thickBot="1" x14ac:dyDescent="0.3">
      <c r="A11" s="36"/>
      <c r="B11" s="18"/>
      <c r="C11" s="19"/>
      <c r="D11" s="20"/>
      <c r="E11" s="20"/>
      <c r="F11" s="20"/>
      <c r="G11" s="20"/>
      <c r="H11" s="21"/>
      <c r="J11" s="98" t="s">
        <v>30</v>
      </c>
      <c r="K11" s="99">
        <v>0</v>
      </c>
      <c r="M11" s="41" t="s">
        <v>6</v>
      </c>
      <c r="N11" s="42">
        <v>30</v>
      </c>
      <c r="O11" s="36"/>
      <c r="P11" s="36"/>
      <c r="Q11" s="36"/>
      <c r="R11" s="36"/>
      <c r="S11" s="36"/>
      <c r="T11" s="36"/>
      <c r="U11" s="36"/>
      <c r="V11" s="36"/>
    </row>
    <row r="12" spans="1:22" ht="15.75" x14ac:dyDescent="0.25">
      <c r="A12" s="36"/>
      <c r="B12" s="18"/>
      <c r="C12" s="19" t="s">
        <v>0</v>
      </c>
      <c r="D12" s="20"/>
      <c r="E12" s="19" t="s">
        <v>27</v>
      </c>
      <c r="F12" s="20"/>
      <c r="G12" s="19" t="s">
        <v>36</v>
      </c>
      <c r="H12" s="21"/>
      <c r="J12" s="45" t="s">
        <v>31</v>
      </c>
      <c r="K12" s="46">
        <v>0</v>
      </c>
      <c r="M12" s="41" t="s">
        <v>7</v>
      </c>
      <c r="N12" s="42">
        <v>30</v>
      </c>
      <c r="Q12" s="70" t="s">
        <v>42</v>
      </c>
      <c r="R12" s="71"/>
      <c r="S12" s="71"/>
      <c r="T12" s="71"/>
      <c r="U12" s="72"/>
    </row>
    <row r="13" spans="1:22" ht="15.75" x14ac:dyDescent="0.25">
      <c r="A13" s="36"/>
      <c r="B13" s="18"/>
      <c r="C13" s="43"/>
      <c r="D13" s="20"/>
      <c r="E13" s="44"/>
      <c r="F13" s="20"/>
      <c r="G13" s="43"/>
      <c r="H13" s="21"/>
      <c r="J13"/>
      <c r="K13"/>
      <c r="M13" s="41" t="s">
        <v>8</v>
      </c>
      <c r="N13" s="42">
        <v>30</v>
      </c>
      <c r="Q13" s="73"/>
      <c r="R13" s="74"/>
      <c r="S13" s="74"/>
      <c r="T13" s="74"/>
      <c r="U13" s="75"/>
    </row>
    <row r="14" spans="1:22" ht="15.75" x14ac:dyDescent="0.25">
      <c r="A14" s="36"/>
      <c r="B14" s="18"/>
      <c r="C14" s="20"/>
      <c r="D14" s="20"/>
      <c r="E14" s="20"/>
      <c r="F14" s="20"/>
      <c r="G14" s="20"/>
      <c r="H14" s="21"/>
      <c r="J14"/>
      <c r="K14"/>
      <c r="M14" s="41" t="s">
        <v>9</v>
      </c>
      <c r="N14" s="42">
        <v>30</v>
      </c>
      <c r="Q14" s="29"/>
      <c r="R14" s="30"/>
      <c r="S14" s="30"/>
      <c r="T14" s="30"/>
      <c r="U14" s="31"/>
    </row>
    <row r="15" spans="1:22" ht="16.5" thickBot="1" x14ac:dyDescent="0.3">
      <c r="A15" s="36"/>
      <c r="B15" s="18"/>
      <c r="C15" s="19"/>
      <c r="D15" s="20"/>
      <c r="E15" s="20"/>
      <c r="F15" s="20"/>
      <c r="G15" s="20"/>
      <c r="H15" s="21"/>
      <c r="M15" s="41" t="s">
        <v>10</v>
      </c>
      <c r="N15" s="42">
        <v>30</v>
      </c>
      <c r="Q15" s="33"/>
      <c r="R15" s="34"/>
      <c r="S15" s="34"/>
      <c r="T15" s="34"/>
      <c r="U15" s="35"/>
    </row>
    <row r="16" spans="1:22" ht="15.75" x14ac:dyDescent="0.25">
      <c r="A16" s="36"/>
      <c r="B16" s="18"/>
      <c r="C16" s="19" t="s">
        <v>22</v>
      </c>
      <c r="D16" s="20"/>
      <c r="E16" s="19" t="s">
        <v>25</v>
      </c>
      <c r="F16" s="20"/>
      <c r="G16" s="19" t="s">
        <v>4</v>
      </c>
      <c r="H16" s="21"/>
      <c r="M16" s="41" t="s">
        <v>11</v>
      </c>
      <c r="N16" s="42">
        <v>30</v>
      </c>
      <c r="Q16" s="36"/>
      <c r="R16" s="36"/>
      <c r="S16" s="36"/>
      <c r="T16" s="36"/>
      <c r="U16" s="36"/>
    </row>
    <row r="17" spans="1:21" ht="15.75" x14ac:dyDescent="0.25">
      <c r="A17" s="36"/>
      <c r="B17" s="18"/>
      <c r="C17" s="43"/>
      <c r="D17" s="20"/>
      <c r="E17" s="47"/>
      <c r="F17" s="20"/>
      <c r="G17" s="47"/>
      <c r="H17" s="21"/>
      <c r="M17" s="41" t="s">
        <v>12</v>
      </c>
      <c r="N17" s="42">
        <v>30</v>
      </c>
      <c r="Q17" s="36"/>
      <c r="R17" s="36"/>
      <c r="S17" s="36"/>
      <c r="T17" s="36"/>
      <c r="U17" s="36"/>
    </row>
    <row r="18" spans="1:21" ht="15.75" x14ac:dyDescent="0.25">
      <c r="A18" s="36"/>
      <c r="B18" s="18"/>
      <c r="C18" s="19"/>
      <c r="D18" s="20"/>
      <c r="E18" s="20"/>
      <c r="F18" s="20"/>
      <c r="G18" s="20"/>
      <c r="H18" s="21"/>
      <c r="M18" s="41" t="s">
        <v>13</v>
      </c>
      <c r="N18" s="42">
        <v>30</v>
      </c>
    </row>
    <row r="19" spans="1:21" ht="15.75" x14ac:dyDescent="0.25">
      <c r="A19" s="36"/>
      <c r="B19" s="18"/>
      <c r="C19" s="20"/>
      <c r="D19" s="20"/>
      <c r="E19" s="20"/>
      <c r="F19" s="20"/>
      <c r="G19" s="20"/>
      <c r="H19" s="21"/>
      <c r="M19" s="41" t="s">
        <v>14</v>
      </c>
      <c r="N19" s="42">
        <v>30</v>
      </c>
    </row>
    <row r="20" spans="1:21" ht="16.5" thickBot="1" x14ac:dyDescent="0.3">
      <c r="A20" s="36"/>
      <c r="B20" s="22"/>
      <c r="C20" s="23"/>
      <c r="D20" s="23"/>
      <c r="E20" s="23"/>
      <c r="F20" s="23"/>
      <c r="G20" s="23"/>
      <c r="H20" s="24"/>
      <c r="M20" s="41" t="s">
        <v>15</v>
      </c>
      <c r="N20" s="42">
        <v>30</v>
      </c>
    </row>
    <row r="21" spans="1:21" x14ac:dyDescent="0.25">
      <c r="B21" s="48"/>
      <c r="M21" s="54" t="s">
        <v>16</v>
      </c>
      <c r="N21" s="55">
        <v>30</v>
      </c>
    </row>
    <row r="22" spans="1:21" x14ac:dyDescent="0.25">
      <c r="B22" s="49"/>
      <c r="E22" s="36"/>
      <c r="M22" s="41" t="s">
        <v>17</v>
      </c>
      <c r="N22" s="42">
        <v>30</v>
      </c>
    </row>
    <row r="23" spans="1:21" x14ac:dyDescent="0.25">
      <c r="B23" s="28"/>
      <c r="M23" s="41" t="s">
        <v>18</v>
      </c>
      <c r="N23" s="42">
        <v>30</v>
      </c>
    </row>
    <row r="24" spans="1:21" x14ac:dyDescent="0.25">
      <c r="B24" s="48"/>
      <c r="M24" s="41" t="s">
        <v>19</v>
      </c>
      <c r="N24" s="42">
        <v>30</v>
      </c>
    </row>
    <row r="25" spans="1:21" x14ac:dyDescent="0.25">
      <c r="B25" s="28"/>
      <c r="M25" s="41" t="s">
        <v>20</v>
      </c>
      <c r="N25" s="42">
        <v>30</v>
      </c>
    </row>
    <row r="26" spans="1:21" ht="15.75" thickBot="1" x14ac:dyDescent="0.3">
      <c r="B26" s="28"/>
      <c r="C26" s="69" t="s">
        <v>41</v>
      </c>
      <c r="D26" s="69"/>
      <c r="E26" s="69"/>
      <c r="F26" s="69"/>
      <c r="G26" s="69"/>
      <c r="M26" s="50" t="s">
        <v>21</v>
      </c>
      <c r="N26" s="51">
        <v>30</v>
      </c>
    </row>
    <row r="27" spans="1:21" x14ac:dyDescent="0.25">
      <c r="B27" s="28"/>
      <c r="M27" s="52" t="s">
        <v>31</v>
      </c>
      <c r="N27" s="53">
        <v>510</v>
      </c>
    </row>
    <row r="28" spans="1:21" x14ac:dyDescent="0.25">
      <c r="B28" s="28"/>
    </row>
    <row r="29" spans="1:21" x14ac:dyDescent="0.25">
      <c r="B29" s="28"/>
    </row>
  </sheetData>
  <sheetProtection selectLockedCells="1"/>
  <mergeCells count="6">
    <mergeCell ref="C26:G26"/>
    <mergeCell ref="Q12:U13"/>
    <mergeCell ref="B7:H9"/>
    <mergeCell ref="J7:K9"/>
    <mergeCell ref="M7:N8"/>
    <mergeCell ref="Q6:U7"/>
  </mergeCells>
  <dataValidations count="2">
    <dataValidation type="list" allowBlank="1" showInputMessage="1" showErrorMessage="1" sqref="C13">
      <formula1>Prénom</formula1>
    </dataValidation>
    <dataValidation type="list" allowBlank="1" showInputMessage="1" showErrorMessage="1" sqref="C17">
      <formula1>type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EST">
                <anchor moveWithCells="1" sizeWithCells="1">
                  <from>
                    <xdr:col>3</xdr:col>
                    <xdr:colOff>752475</xdr:colOff>
                    <xdr:row>18</xdr:row>
                    <xdr:rowOff>133350</xdr:rowOff>
                  </from>
                  <to>
                    <xdr:col>5</xdr:col>
                    <xdr:colOff>38100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ReinitialiserCA">
                <anchor moveWithCells="1" sizeWithCells="1">
                  <from>
                    <xdr:col>16</xdr:col>
                    <xdr:colOff>171450</xdr:colOff>
                    <xdr:row>7</xdr:row>
                    <xdr:rowOff>85725</xdr:rowOff>
                  </from>
                  <to>
                    <xdr:col>20</xdr:col>
                    <xdr:colOff>1028700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ReinialiserHeure">
                <anchor moveWithCells="1" sizeWithCells="1">
                  <from>
                    <xdr:col>17</xdr:col>
                    <xdr:colOff>57150</xdr:colOff>
                    <xdr:row>13</xdr:row>
                    <xdr:rowOff>76200</xdr:rowOff>
                  </from>
                  <to>
                    <xdr:col>20</xdr:col>
                    <xdr:colOff>733425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D18"/>
  <sheetViews>
    <sheetView workbookViewId="0">
      <selection activeCell="B4" sqref="B4"/>
    </sheetView>
  </sheetViews>
  <sheetFormatPr baseColWidth="10" defaultRowHeight="15" x14ac:dyDescent="0.25"/>
  <cols>
    <col min="2" max="2" width="15" customWidth="1"/>
  </cols>
  <sheetData>
    <row r="2" spans="2:4" x14ac:dyDescent="0.25">
      <c r="B2" t="s">
        <v>22</v>
      </c>
      <c r="D2" s="5" t="s">
        <v>5</v>
      </c>
    </row>
    <row r="3" spans="2:4" x14ac:dyDescent="0.25">
      <c r="B3" t="s">
        <v>24</v>
      </c>
      <c r="D3" s="6" t="s">
        <v>6</v>
      </c>
    </row>
    <row r="4" spans="2:4" x14ac:dyDescent="0.25">
      <c r="B4" t="s">
        <v>23</v>
      </c>
      <c r="D4" s="5" t="s">
        <v>7</v>
      </c>
    </row>
    <row r="5" spans="2:4" x14ac:dyDescent="0.25">
      <c r="D5" s="6" t="s">
        <v>8</v>
      </c>
    </row>
    <row r="6" spans="2:4" x14ac:dyDescent="0.25">
      <c r="D6" s="5" t="s">
        <v>9</v>
      </c>
    </row>
    <row r="7" spans="2:4" x14ac:dyDescent="0.25">
      <c r="D7" s="6" t="s">
        <v>10</v>
      </c>
    </row>
    <row r="8" spans="2:4" x14ac:dyDescent="0.25">
      <c r="D8" s="5" t="s">
        <v>11</v>
      </c>
    </row>
    <row r="9" spans="2:4" x14ac:dyDescent="0.25">
      <c r="D9" s="6" t="s">
        <v>12</v>
      </c>
    </row>
    <row r="10" spans="2:4" x14ac:dyDescent="0.25">
      <c r="D10" s="5" t="s">
        <v>13</v>
      </c>
    </row>
    <row r="11" spans="2:4" x14ac:dyDescent="0.25">
      <c r="D11" s="6" t="s">
        <v>14</v>
      </c>
    </row>
    <row r="12" spans="2:4" x14ac:dyDescent="0.25">
      <c r="D12" s="5" t="s">
        <v>15</v>
      </c>
    </row>
    <row r="13" spans="2:4" x14ac:dyDescent="0.25">
      <c r="D13" s="6" t="s">
        <v>16</v>
      </c>
    </row>
    <row r="14" spans="2:4" x14ac:dyDescent="0.25">
      <c r="D14" s="5" t="s">
        <v>17</v>
      </c>
    </row>
    <row r="15" spans="2:4" x14ac:dyDescent="0.25">
      <c r="D15" s="6" t="s">
        <v>18</v>
      </c>
    </row>
    <row r="16" spans="2:4" x14ac:dyDescent="0.25">
      <c r="D16" s="5" t="s">
        <v>19</v>
      </c>
    </row>
    <row r="17" spans="4:4" x14ac:dyDescent="0.25">
      <c r="D17" s="6" t="s">
        <v>20</v>
      </c>
    </row>
    <row r="18" spans="4:4" x14ac:dyDescent="0.25">
      <c r="D18" s="5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8"/>
  <sheetViews>
    <sheetView showGridLines="0" workbookViewId="0">
      <selection activeCell="A3" sqref="A3:I3"/>
    </sheetView>
  </sheetViews>
  <sheetFormatPr baseColWidth="10" defaultRowHeight="15" x14ac:dyDescent="0.25"/>
  <cols>
    <col min="1" max="1" width="17.7109375" customWidth="1"/>
    <col min="2" max="2" width="17.140625" style="11" customWidth="1"/>
    <col min="3" max="3" width="21.7109375" customWidth="1"/>
    <col min="4" max="4" width="17.85546875" style="4" customWidth="1"/>
    <col min="5" max="6" width="19.5703125" style="4" customWidth="1"/>
    <col min="7" max="7" width="19.5703125" style="14" customWidth="1"/>
    <col min="8" max="9" width="23" style="14" customWidth="1"/>
    <col min="14" max="14" width="17.85546875" customWidth="1"/>
  </cols>
  <sheetData>
    <row r="1" spans="1:14" s="1" customFormat="1" x14ac:dyDescent="0.25">
      <c r="A1" s="1" t="s">
        <v>0</v>
      </c>
      <c r="B1" s="2" t="s">
        <v>1</v>
      </c>
      <c r="C1" s="1" t="s">
        <v>2</v>
      </c>
      <c r="D1" s="3" t="s">
        <v>3</v>
      </c>
      <c r="E1" s="3" t="s">
        <v>4</v>
      </c>
      <c r="F1" s="3" t="s">
        <v>29</v>
      </c>
      <c r="G1" s="12" t="s">
        <v>28</v>
      </c>
      <c r="H1" s="12" t="s">
        <v>32</v>
      </c>
      <c r="I1" s="12" t="s">
        <v>33</v>
      </c>
      <c r="M1" s="1" t="s">
        <v>34</v>
      </c>
      <c r="N1" s="1" t="s">
        <v>35</v>
      </c>
    </row>
    <row r="2" spans="1:14" s="1" customFormat="1" ht="15.75" x14ac:dyDescent="0.25">
      <c r="A2" s="8"/>
      <c r="B2" s="10"/>
      <c r="C2" s="8"/>
      <c r="D2" s="9">
        <v>0</v>
      </c>
      <c r="E2" s="9">
        <v>0</v>
      </c>
      <c r="F2" s="9"/>
      <c r="G2" s="13" t="b">
        <f>IF(Tableau2[[#This Row],[Type d''heure ]]="Heures crédits",Tableau2[[#This Row],[A :]]-Tableau2[[#This Row],[De :]],IF(Tableau2[[#This Row],[Type d''heure ]]="Heures débits",Tableau2[[#This Row],[De :]]-Tableau2[[#This Row],[A :]]))</f>
        <v>0</v>
      </c>
      <c r="H2" s="13">
        <f>IF(Tableau2[[#This Row],[Nombre d''heure]]&gt;0,Tableau2[[#This Row],[Nombre d''heure]]*0.25)</f>
        <v>0</v>
      </c>
      <c r="I2" s="13">
        <f>SUM(Tableau2[[#This Row],[Nombre d''heure]],Tableau2[[#This Row],[Heure en plus]])</f>
        <v>0</v>
      </c>
      <c r="M2" s="5" t="s">
        <v>5</v>
      </c>
      <c r="N2" s="7">
        <v>30</v>
      </c>
    </row>
    <row r="3" spans="1:14" s="1" customFormat="1" ht="15.75" x14ac:dyDescent="0.25">
      <c r="A3" s="8"/>
      <c r="B3" s="10"/>
      <c r="C3" s="8"/>
      <c r="D3" s="9">
        <v>0</v>
      </c>
      <c r="E3" s="9">
        <v>0</v>
      </c>
      <c r="F3" s="9"/>
      <c r="G3" s="13" t="b">
        <f>IF(Tableau2[[#This Row],[Type d''heure ]]="Heures crédits",Tableau2[[#This Row],[A :]]-Tableau2[[#This Row],[De :]],IF(Tableau2[[#This Row],[Type d''heure ]]="Heures débits",Tableau2[[#This Row],[De :]]-Tableau2[[#This Row],[A :]]))</f>
        <v>0</v>
      </c>
      <c r="H3" s="13">
        <f>IF(Tableau2[[#This Row],[Nombre d''heure]]&gt;0,Tableau2[[#This Row],[Nombre d''heure]]*0.25)</f>
        <v>0</v>
      </c>
      <c r="I3" s="13">
        <f>SUM(Tableau2[[#This Row],[Nombre d''heure]],Tableau2[[#This Row],[Heure en plus]])</f>
        <v>0</v>
      </c>
      <c r="M3" s="6" t="s">
        <v>6</v>
      </c>
      <c r="N3" s="7">
        <v>30</v>
      </c>
    </row>
    <row r="4" spans="1:14" s="1" customFormat="1" x14ac:dyDescent="0.25">
      <c r="A4"/>
      <c r="B4" s="11"/>
      <c r="C4"/>
      <c r="D4" s="4"/>
      <c r="E4" s="4"/>
      <c r="F4" s="4"/>
      <c r="G4" s="14"/>
      <c r="H4" s="14"/>
      <c r="I4" s="14"/>
      <c r="M4" s="5" t="s">
        <v>7</v>
      </c>
      <c r="N4" s="7">
        <v>30</v>
      </c>
    </row>
    <row r="5" spans="1:14" s="1" customFormat="1" x14ac:dyDescent="0.25">
      <c r="A5"/>
      <c r="B5" s="11"/>
      <c r="C5"/>
      <c r="D5" s="4"/>
      <c r="E5" s="4"/>
      <c r="F5" s="4"/>
      <c r="G5" s="14"/>
      <c r="H5" s="14"/>
      <c r="I5" s="14"/>
      <c r="M5" s="6" t="s">
        <v>8</v>
      </c>
      <c r="N5" s="7">
        <v>30</v>
      </c>
    </row>
    <row r="6" spans="1:14" x14ac:dyDescent="0.25">
      <c r="M6" s="5" t="s">
        <v>9</v>
      </c>
      <c r="N6" s="7">
        <v>30</v>
      </c>
    </row>
    <row r="7" spans="1:14" x14ac:dyDescent="0.25">
      <c r="M7" s="6" t="s">
        <v>10</v>
      </c>
      <c r="N7" s="7">
        <v>30</v>
      </c>
    </row>
    <row r="8" spans="1:14" x14ac:dyDescent="0.25">
      <c r="M8" s="5" t="s">
        <v>11</v>
      </c>
      <c r="N8" s="7">
        <v>30</v>
      </c>
    </row>
    <row r="9" spans="1:14" x14ac:dyDescent="0.25">
      <c r="M9" s="6" t="s">
        <v>12</v>
      </c>
      <c r="N9" s="7">
        <v>30</v>
      </c>
    </row>
    <row r="10" spans="1:14" x14ac:dyDescent="0.25">
      <c r="M10" s="5" t="s">
        <v>13</v>
      </c>
      <c r="N10" s="7">
        <v>30</v>
      </c>
    </row>
    <row r="11" spans="1:14" x14ac:dyDescent="0.25">
      <c r="M11" s="6" t="s">
        <v>14</v>
      </c>
      <c r="N11" s="7">
        <v>30</v>
      </c>
    </row>
    <row r="12" spans="1:14" x14ac:dyDescent="0.25">
      <c r="M12" s="5" t="s">
        <v>15</v>
      </c>
      <c r="N12" s="7">
        <v>30</v>
      </c>
    </row>
    <row r="13" spans="1:14" x14ac:dyDescent="0.25">
      <c r="M13" s="6" t="s">
        <v>16</v>
      </c>
      <c r="N13" s="7">
        <v>30</v>
      </c>
    </row>
    <row r="14" spans="1:14" x14ac:dyDescent="0.25">
      <c r="M14" s="5" t="s">
        <v>17</v>
      </c>
      <c r="N14" s="7">
        <v>30</v>
      </c>
    </row>
    <row r="15" spans="1:14" x14ac:dyDescent="0.25">
      <c r="M15" s="6" t="s">
        <v>18</v>
      </c>
      <c r="N15" s="7">
        <v>30</v>
      </c>
    </row>
    <row r="16" spans="1:14" x14ac:dyDescent="0.25">
      <c r="M16" s="5" t="s">
        <v>19</v>
      </c>
      <c r="N16" s="7">
        <v>30</v>
      </c>
    </row>
    <row r="17" spans="13:14" x14ac:dyDescent="0.25">
      <c r="M17" s="6" t="s">
        <v>20</v>
      </c>
      <c r="N17" s="7">
        <v>30</v>
      </c>
    </row>
    <row r="18" spans="13:14" x14ac:dyDescent="0.25">
      <c r="M18" s="5" t="s">
        <v>21</v>
      </c>
      <c r="N18" s="7">
        <v>30</v>
      </c>
    </row>
  </sheetData>
  <dataValidations count="2">
    <dataValidation type="list" allowBlank="1" showInputMessage="1" showErrorMessage="1" sqref="A1">
      <formula1>Prénom</formula1>
    </dataValidation>
    <dataValidation type="list" allowBlank="1" showInputMessage="1" showErrorMessage="1" sqref="C1:C3">
      <formula1>type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2"/>
  <sheetViews>
    <sheetView workbookViewId="0">
      <selection activeCell="G37" sqref="G37"/>
    </sheetView>
  </sheetViews>
  <sheetFormatPr baseColWidth="10" defaultRowHeight="15" x14ac:dyDescent="0.25"/>
  <cols>
    <col min="1" max="1" width="11.5703125" style="1" customWidth="1"/>
    <col min="2" max="10" width="11.42578125" style="56"/>
    <col min="11" max="11" width="13.28515625" style="56" customWidth="1"/>
    <col min="12" max="18" width="11.42578125" style="56"/>
    <col min="19" max="19" width="12.85546875" style="56" customWidth="1"/>
    <col min="20" max="22" width="11.42578125" style="56"/>
    <col min="23" max="23" width="12.28515625" style="56" customWidth="1"/>
    <col min="24" max="24" width="11.42578125" style="56"/>
    <col min="25" max="25" width="12.140625" style="56" customWidth="1"/>
    <col min="26" max="16384" width="11.42578125" style="56"/>
  </cols>
  <sheetData>
    <row r="1" spans="1:25" s="57" customFormat="1" x14ac:dyDescent="0.25">
      <c r="A1" s="57" t="s">
        <v>43</v>
      </c>
      <c r="B1" s="57" t="s">
        <v>45</v>
      </c>
      <c r="C1" s="57" t="s">
        <v>44</v>
      </c>
      <c r="D1" s="57" t="s">
        <v>57</v>
      </c>
      <c r="E1" s="57" t="s">
        <v>46</v>
      </c>
      <c r="F1" s="57" t="s">
        <v>58</v>
      </c>
      <c r="G1" s="57" t="s">
        <v>47</v>
      </c>
      <c r="H1" s="57" t="s">
        <v>59</v>
      </c>
      <c r="I1" s="57" t="s">
        <v>48</v>
      </c>
      <c r="J1" s="57" t="s">
        <v>60</v>
      </c>
      <c r="K1" s="57" t="s">
        <v>49</v>
      </c>
      <c r="L1" s="57" t="s">
        <v>61</v>
      </c>
      <c r="M1" s="1" t="s">
        <v>50</v>
      </c>
      <c r="N1" s="57" t="s">
        <v>62</v>
      </c>
      <c r="O1" s="57" t="s">
        <v>51</v>
      </c>
      <c r="P1" s="57" t="s">
        <v>63</v>
      </c>
      <c r="Q1" s="57" t="s">
        <v>52</v>
      </c>
      <c r="R1" s="57" t="s">
        <v>64</v>
      </c>
      <c r="S1" s="57" t="s">
        <v>53</v>
      </c>
      <c r="T1" s="57" t="s">
        <v>65</v>
      </c>
      <c r="U1" s="57" t="s">
        <v>54</v>
      </c>
      <c r="V1" s="57" t="s">
        <v>66</v>
      </c>
      <c r="W1" s="57" t="s">
        <v>55</v>
      </c>
      <c r="X1" s="57" t="s">
        <v>67</v>
      </c>
      <c r="Y1" s="57" t="s">
        <v>56</v>
      </c>
    </row>
    <row r="2" spans="1:25" x14ac:dyDescent="0.25">
      <c r="A2" s="1">
        <v>1</v>
      </c>
      <c r="B2" s="56" t="s">
        <v>68</v>
      </c>
      <c r="C2" s="58">
        <v>7</v>
      </c>
      <c r="D2" s="56" t="s">
        <v>71</v>
      </c>
      <c r="E2" s="56" t="s">
        <v>76</v>
      </c>
      <c r="F2" s="56" t="s">
        <v>75</v>
      </c>
      <c r="G2" s="56" t="s">
        <v>76</v>
      </c>
      <c r="H2" s="56" t="s">
        <v>74</v>
      </c>
      <c r="I2" s="56" t="s">
        <v>77</v>
      </c>
      <c r="J2" s="56" t="s">
        <v>69</v>
      </c>
      <c r="K2" s="64">
        <v>7</v>
      </c>
      <c r="L2" s="56" t="s">
        <v>72</v>
      </c>
      <c r="M2" s="56" t="s">
        <v>76</v>
      </c>
      <c r="N2" s="56" t="s">
        <v>74</v>
      </c>
      <c r="O2" s="56" t="s">
        <v>77</v>
      </c>
      <c r="P2" s="56" t="s">
        <v>70</v>
      </c>
      <c r="R2" s="56" t="s">
        <v>73</v>
      </c>
      <c r="T2" s="56" t="s">
        <v>68</v>
      </c>
      <c r="V2" s="56" t="s">
        <v>71</v>
      </c>
      <c r="X2" s="56" t="s">
        <v>73</v>
      </c>
    </row>
    <row r="3" spans="1:25" x14ac:dyDescent="0.25">
      <c r="A3" s="1">
        <v>2</v>
      </c>
      <c r="B3" s="56" t="s">
        <v>69</v>
      </c>
      <c r="D3" s="56" t="s">
        <v>72</v>
      </c>
      <c r="E3" s="56" t="s">
        <v>77</v>
      </c>
      <c r="F3" s="56" t="s">
        <v>72</v>
      </c>
      <c r="G3" s="56" t="s">
        <v>77</v>
      </c>
      <c r="H3" s="56" t="s">
        <v>68</v>
      </c>
      <c r="I3" s="60"/>
      <c r="J3" s="56" t="s">
        <v>70</v>
      </c>
      <c r="K3" s="56" t="s">
        <v>76</v>
      </c>
      <c r="L3" s="56" t="s">
        <v>73</v>
      </c>
      <c r="M3" s="56" t="s">
        <v>78</v>
      </c>
      <c r="N3" s="56" t="s">
        <v>68</v>
      </c>
      <c r="P3" s="56" t="s">
        <v>71</v>
      </c>
      <c r="R3" s="56" t="s">
        <v>74</v>
      </c>
      <c r="T3" s="56" t="s">
        <v>69</v>
      </c>
      <c r="V3" s="56" t="s">
        <v>72</v>
      </c>
      <c r="X3" s="56" t="s">
        <v>74</v>
      </c>
    </row>
    <row r="4" spans="1:25" x14ac:dyDescent="0.25">
      <c r="A4" s="1">
        <v>3</v>
      </c>
      <c r="B4" s="56" t="s">
        <v>70</v>
      </c>
      <c r="D4" s="56" t="s">
        <v>73</v>
      </c>
      <c r="E4" s="56" t="s">
        <v>76</v>
      </c>
      <c r="F4" s="56" t="s">
        <v>73</v>
      </c>
      <c r="G4" s="56" t="s">
        <v>77</v>
      </c>
      <c r="H4" s="56" t="s">
        <v>69</v>
      </c>
      <c r="I4" s="60"/>
      <c r="J4" s="56" t="s">
        <v>71</v>
      </c>
      <c r="K4" s="60"/>
      <c r="L4" s="56" t="s">
        <v>74</v>
      </c>
      <c r="M4" s="63"/>
      <c r="N4" s="56" t="s">
        <v>69</v>
      </c>
      <c r="P4" s="56" t="s">
        <v>72</v>
      </c>
      <c r="R4" s="56" t="s">
        <v>68</v>
      </c>
      <c r="T4" s="56" t="s">
        <v>70</v>
      </c>
      <c r="V4" s="56" t="s">
        <v>73</v>
      </c>
      <c r="X4" s="56" t="s">
        <v>68</v>
      </c>
    </row>
    <row r="5" spans="1:25" x14ac:dyDescent="0.25">
      <c r="A5" s="1">
        <v>4</v>
      </c>
      <c r="B5" s="56" t="s">
        <v>71</v>
      </c>
      <c r="D5" s="56" t="s">
        <v>74</v>
      </c>
      <c r="E5" s="56" t="s">
        <v>77</v>
      </c>
      <c r="F5" s="56" t="s">
        <v>74</v>
      </c>
      <c r="G5" s="60"/>
      <c r="H5" s="56" t="s">
        <v>70</v>
      </c>
      <c r="I5" s="56" t="s">
        <v>76</v>
      </c>
      <c r="J5" s="56" t="s">
        <v>72</v>
      </c>
      <c r="K5" s="56" t="s">
        <v>82</v>
      </c>
      <c r="L5" s="56" t="s">
        <v>68</v>
      </c>
      <c r="M5" s="63"/>
      <c r="N5" s="56" t="s">
        <v>70</v>
      </c>
      <c r="P5" s="56" t="s">
        <v>73</v>
      </c>
      <c r="R5" s="56" t="s">
        <v>69</v>
      </c>
      <c r="T5" s="56" t="s">
        <v>71</v>
      </c>
      <c r="V5" s="56" t="s">
        <v>74</v>
      </c>
      <c r="X5" s="56" t="s">
        <v>69</v>
      </c>
    </row>
    <row r="6" spans="1:25" x14ac:dyDescent="0.25">
      <c r="A6" s="1">
        <v>5</v>
      </c>
      <c r="B6" s="56" t="s">
        <v>72</v>
      </c>
      <c r="D6" s="56" t="s">
        <v>68</v>
      </c>
      <c r="E6" s="60"/>
      <c r="F6" s="56" t="s">
        <v>68</v>
      </c>
      <c r="G6" s="60"/>
      <c r="H6" s="56" t="s">
        <v>71</v>
      </c>
      <c r="I6" s="56" t="s">
        <v>76</v>
      </c>
      <c r="J6" s="56" t="s">
        <v>73</v>
      </c>
      <c r="K6" s="68" t="s">
        <v>83</v>
      </c>
      <c r="L6" s="56" t="s">
        <v>69</v>
      </c>
      <c r="M6" s="63"/>
      <c r="N6" s="56" t="s">
        <v>71</v>
      </c>
      <c r="P6" s="56" t="s">
        <v>74</v>
      </c>
      <c r="R6" s="56" t="s">
        <v>70</v>
      </c>
      <c r="T6" s="56" t="s">
        <v>72</v>
      </c>
      <c r="V6" s="56" t="s">
        <v>68</v>
      </c>
      <c r="X6" s="56" t="s">
        <v>70</v>
      </c>
    </row>
    <row r="7" spans="1:25" x14ac:dyDescent="0.25">
      <c r="A7" s="1">
        <v>6</v>
      </c>
      <c r="B7" s="56" t="s">
        <v>73</v>
      </c>
      <c r="D7" s="56" t="s">
        <v>69</v>
      </c>
      <c r="E7" s="60"/>
      <c r="F7" s="56" t="s">
        <v>69</v>
      </c>
      <c r="G7" s="60"/>
      <c r="H7" s="56" t="s">
        <v>72</v>
      </c>
      <c r="I7" s="56" t="s">
        <v>78</v>
      </c>
      <c r="J7" s="56" t="s">
        <v>74</v>
      </c>
      <c r="K7" s="56" t="s">
        <v>77</v>
      </c>
      <c r="L7" s="56" t="s">
        <v>70</v>
      </c>
      <c r="M7" s="65">
        <v>7</v>
      </c>
      <c r="N7" s="56" t="s">
        <v>72</v>
      </c>
      <c r="P7" s="56" t="s">
        <v>68</v>
      </c>
      <c r="R7" s="56" t="s">
        <v>71</v>
      </c>
      <c r="T7" s="56" t="s">
        <v>73</v>
      </c>
      <c r="V7" s="56" t="s">
        <v>69</v>
      </c>
      <c r="X7" s="56" t="s">
        <v>71</v>
      </c>
    </row>
    <row r="8" spans="1:25" x14ac:dyDescent="0.25">
      <c r="A8" s="1">
        <v>7</v>
      </c>
      <c r="B8" s="56" t="s">
        <v>74</v>
      </c>
      <c r="D8" s="56" t="s">
        <v>70</v>
      </c>
      <c r="E8" s="56" t="s">
        <v>76</v>
      </c>
      <c r="F8" s="56" t="s">
        <v>70</v>
      </c>
      <c r="G8" s="56" t="s">
        <v>76</v>
      </c>
      <c r="H8" s="56" t="s">
        <v>73</v>
      </c>
      <c r="I8" s="60"/>
      <c r="J8" s="56" t="s">
        <v>68</v>
      </c>
      <c r="K8" s="60"/>
      <c r="L8" s="56" t="s">
        <v>71</v>
      </c>
      <c r="M8" s="62" t="s">
        <v>76</v>
      </c>
      <c r="N8" s="56" t="s">
        <v>73</v>
      </c>
      <c r="P8" s="56" t="s">
        <v>69</v>
      </c>
      <c r="R8" s="56" t="s">
        <v>72</v>
      </c>
      <c r="T8" s="56" t="s">
        <v>74</v>
      </c>
      <c r="V8" s="56" t="s">
        <v>70</v>
      </c>
      <c r="X8" s="56" t="s">
        <v>72</v>
      </c>
    </row>
    <row r="9" spans="1:25" x14ac:dyDescent="0.25">
      <c r="A9" s="1">
        <v>8</v>
      </c>
      <c r="B9" s="56" t="s">
        <v>68</v>
      </c>
      <c r="C9" s="60"/>
      <c r="D9" s="56" t="s">
        <v>71</v>
      </c>
      <c r="E9" s="60"/>
      <c r="F9" s="56" t="s">
        <v>71</v>
      </c>
      <c r="G9" s="56" t="s">
        <v>77</v>
      </c>
      <c r="H9" s="56" t="s">
        <v>74</v>
      </c>
      <c r="I9" s="56" t="s">
        <v>77</v>
      </c>
      <c r="J9" s="56" t="s">
        <v>69</v>
      </c>
      <c r="K9" s="64">
        <v>7</v>
      </c>
      <c r="L9" s="56" t="s">
        <v>72</v>
      </c>
      <c r="M9" s="62" t="s">
        <v>77</v>
      </c>
      <c r="N9" s="56" t="s">
        <v>74</v>
      </c>
      <c r="P9" s="56" t="s">
        <v>70</v>
      </c>
      <c r="R9" s="56" t="s">
        <v>73</v>
      </c>
      <c r="T9" s="56" t="s">
        <v>68</v>
      </c>
      <c r="V9" s="56" t="s">
        <v>71</v>
      </c>
      <c r="X9" s="56" t="s">
        <v>73</v>
      </c>
    </row>
    <row r="10" spans="1:25" x14ac:dyDescent="0.25">
      <c r="A10" s="1">
        <v>9</v>
      </c>
      <c r="B10" s="56" t="s">
        <v>69</v>
      </c>
      <c r="C10" s="60"/>
      <c r="D10" s="56" t="s">
        <v>72</v>
      </c>
      <c r="E10" s="56" t="s">
        <v>76</v>
      </c>
      <c r="F10" s="56" t="s">
        <v>72</v>
      </c>
      <c r="G10" s="56" t="s">
        <v>76</v>
      </c>
      <c r="H10" s="56" t="s">
        <v>68</v>
      </c>
      <c r="I10" s="60"/>
      <c r="J10" s="56" t="s">
        <v>70</v>
      </c>
      <c r="K10" s="56" t="s">
        <v>76</v>
      </c>
      <c r="L10" s="56" t="s">
        <v>73</v>
      </c>
      <c r="M10" s="62" t="s">
        <v>76</v>
      </c>
      <c r="N10" s="56" t="s">
        <v>68</v>
      </c>
      <c r="P10" s="56" t="s">
        <v>71</v>
      </c>
      <c r="R10" s="56" t="s">
        <v>74</v>
      </c>
      <c r="T10" s="56" t="s">
        <v>69</v>
      </c>
      <c r="V10" s="56" t="s">
        <v>72</v>
      </c>
      <c r="X10" s="56" t="s">
        <v>74</v>
      </c>
    </row>
    <row r="11" spans="1:25" x14ac:dyDescent="0.25">
      <c r="A11" s="1">
        <v>10</v>
      </c>
      <c r="B11" s="56" t="s">
        <v>70</v>
      </c>
      <c r="C11" s="56" t="s">
        <v>76</v>
      </c>
      <c r="D11" s="56" t="s">
        <v>73</v>
      </c>
      <c r="E11" s="56" t="s">
        <v>77</v>
      </c>
      <c r="F11" s="56" t="s">
        <v>73</v>
      </c>
      <c r="G11" s="56" t="s">
        <v>78</v>
      </c>
      <c r="H11" s="56" t="s">
        <v>69</v>
      </c>
      <c r="I11" s="60"/>
      <c r="J11" s="56" t="s">
        <v>71</v>
      </c>
      <c r="K11" s="56" t="s">
        <v>78</v>
      </c>
      <c r="L11" s="56" t="s">
        <v>74</v>
      </c>
      <c r="M11" s="62" t="s">
        <v>77</v>
      </c>
      <c r="N11" s="56" t="s">
        <v>69</v>
      </c>
      <c r="P11" s="56" t="s">
        <v>72</v>
      </c>
      <c r="R11" s="56" t="s">
        <v>68</v>
      </c>
      <c r="T11" s="56" t="s">
        <v>70</v>
      </c>
      <c r="V11" s="56" t="s">
        <v>73</v>
      </c>
      <c r="X11" s="56" t="s">
        <v>68</v>
      </c>
    </row>
    <row r="12" spans="1:25" x14ac:dyDescent="0.25">
      <c r="A12" s="1">
        <v>11</v>
      </c>
      <c r="B12" s="56" t="s">
        <v>71</v>
      </c>
      <c r="C12" s="56" t="s">
        <v>76</v>
      </c>
      <c r="D12" s="56" t="s">
        <v>74</v>
      </c>
      <c r="E12" s="56" t="s">
        <v>77</v>
      </c>
      <c r="F12" s="56" t="s">
        <v>74</v>
      </c>
      <c r="G12" s="60"/>
      <c r="H12" s="56" t="s">
        <v>70</v>
      </c>
      <c r="I12" s="56" t="s">
        <v>76</v>
      </c>
      <c r="J12" s="56" t="s">
        <v>72</v>
      </c>
      <c r="K12" s="60"/>
      <c r="L12" s="56" t="s">
        <v>68</v>
      </c>
      <c r="M12" s="63"/>
      <c r="N12" s="56" t="s">
        <v>70</v>
      </c>
      <c r="P12" s="56" t="s">
        <v>73</v>
      </c>
      <c r="R12" s="56" t="s">
        <v>69</v>
      </c>
      <c r="T12" s="56" t="s">
        <v>71</v>
      </c>
      <c r="V12" s="56" t="s">
        <v>74</v>
      </c>
      <c r="X12" s="56" t="s">
        <v>69</v>
      </c>
    </row>
    <row r="13" spans="1:25" x14ac:dyDescent="0.25">
      <c r="A13" s="1">
        <v>12</v>
      </c>
      <c r="B13" s="56" t="s">
        <v>72</v>
      </c>
      <c r="C13" s="58">
        <v>3.15</v>
      </c>
      <c r="D13" s="56" t="s">
        <v>68</v>
      </c>
      <c r="E13" s="60"/>
      <c r="F13" s="56" t="s">
        <v>68</v>
      </c>
      <c r="G13" s="60"/>
      <c r="H13" s="56" t="s">
        <v>71</v>
      </c>
      <c r="I13" s="56" t="s">
        <v>76</v>
      </c>
      <c r="J13" s="56" t="s">
        <v>73</v>
      </c>
      <c r="K13" s="56" t="s">
        <v>76</v>
      </c>
      <c r="L13" s="56" t="s">
        <v>69</v>
      </c>
      <c r="M13" s="63"/>
      <c r="N13" s="56" t="s">
        <v>71</v>
      </c>
      <c r="P13" s="56" t="s">
        <v>74</v>
      </c>
      <c r="R13" s="56" t="s">
        <v>70</v>
      </c>
      <c r="T13" s="56" t="s">
        <v>72</v>
      </c>
      <c r="V13" s="56" t="s">
        <v>68</v>
      </c>
      <c r="X13" s="56" t="s">
        <v>70</v>
      </c>
    </row>
    <row r="14" spans="1:25" x14ac:dyDescent="0.25">
      <c r="A14" s="1">
        <v>13</v>
      </c>
      <c r="B14" s="56" t="s">
        <v>73</v>
      </c>
      <c r="C14" s="60"/>
      <c r="D14" s="56" t="s">
        <v>69</v>
      </c>
      <c r="E14" s="60"/>
      <c r="F14" s="56" t="s">
        <v>69</v>
      </c>
      <c r="G14" s="60"/>
      <c r="H14" s="56" t="s">
        <v>72</v>
      </c>
      <c r="I14" s="56" t="s">
        <v>77</v>
      </c>
      <c r="J14" s="56" t="s">
        <v>74</v>
      </c>
      <c r="K14" s="56" t="s">
        <v>77</v>
      </c>
      <c r="L14" s="56" t="s">
        <v>70</v>
      </c>
      <c r="M14" s="62" t="s">
        <v>76</v>
      </c>
      <c r="N14" s="56" t="s">
        <v>72</v>
      </c>
      <c r="P14" s="56" t="s">
        <v>68</v>
      </c>
      <c r="R14" s="56" t="s">
        <v>71</v>
      </c>
      <c r="T14" s="56" t="s">
        <v>73</v>
      </c>
      <c r="V14" s="56" t="s">
        <v>69</v>
      </c>
      <c r="X14" s="56" t="s">
        <v>71</v>
      </c>
    </row>
    <row r="15" spans="1:25" x14ac:dyDescent="0.25">
      <c r="A15" s="1">
        <v>14</v>
      </c>
      <c r="B15" s="56" t="s">
        <v>74</v>
      </c>
      <c r="C15" s="56" t="s">
        <v>77</v>
      </c>
      <c r="D15" s="56" t="s">
        <v>70</v>
      </c>
      <c r="E15" s="56" t="s">
        <v>76</v>
      </c>
      <c r="F15" s="56" t="s">
        <v>70</v>
      </c>
      <c r="G15" s="60"/>
      <c r="H15" s="56" t="s">
        <v>73</v>
      </c>
      <c r="I15" s="67" t="s">
        <v>81</v>
      </c>
      <c r="J15" s="56" t="s">
        <v>68</v>
      </c>
      <c r="K15" s="60"/>
      <c r="L15" s="56" t="s">
        <v>71</v>
      </c>
      <c r="M15" s="63"/>
      <c r="N15" s="56" t="s">
        <v>73</v>
      </c>
      <c r="P15" s="56" t="s">
        <v>69</v>
      </c>
      <c r="R15" s="56" t="s">
        <v>72</v>
      </c>
      <c r="T15" s="56" t="s">
        <v>74</v>
      </c>
      <c r="V15" s="56" t="s">
        <v>70</v>
      </c>
      <c r="X15" s="56" t="s">
        <v>72</v>
      </c>
    </row>
    <row r="16" spans="1:25" x14ac:dyDescent="0.25">
      <c r="A16" s="1">
        <v>15</v>
      </c>
      <c r="B16" s="56" t="s">
        <v>68</v>
      </c>
      <c r="C16" s="60"/>
      <c r="D16" s="56" t="s">
        <v>71</v>
      </c>
      <c r="E16" s="56" t="s">
        <v>78</v>
      </c>
      <c r="F16" s="56" t="s">
        <v>71</v>
      </c>
      <c r="G16" s="56" t="s">
        <v>76</v>
      </c>
      <c r="H16" s="56" t="s">
        <v>74</v>
      </c>
      <c r="I16" s="66"/>
      <c r="J16" s="56" t="s">
        <v>69</v>
      </c>
      <c r="K16" s="60"/>
      <c r="L16" s="56" t="s">
        <v>72</v>
      </c>
      <c r="M16" s="62" t="s">
        <v>76</v>
      </c>
      <c r="N16" s="56" t="s">
        <v>74</v>
      </c>
      <c r="P16" s="56" t="s">
        <v>70</v>
      </c>
      <c r="R16" s="56" t="s">
        <v>73</v>
      </c>
      <c r="T16" s="56" t="s">
        <v>68</v>
      </c>
      <c r="V16" s="56" t="s">
        <v>71</v>
      </c>
      <c r="X16" s="56" t="s">
        <v>73</v>
      </c>
    </row>
    <row r="17" spans="1:24" x14ac:dyDescent="0.25">
      <c r="A17" s="1">
        <v>16</v>
      </c>
      <c r="B17" s="56" t="s">
        <v>69</v>
      </c>
      <c r="C17" s="60"/>
      <c r="D17" s="56" t="s">
        <v>72</v>
      </c>
      <c r="E17" s="60"/>
      <c r="F17" s="56" t="s">
        <v>72</v>
      </c>
      <c r="G17" s="56" t="s">
        <v>77</v>
      </c>
      <c r="H17" s="56" t="s">
        <v>68</v>
      </c>
      <c r="I17" s="66"/>
      <c r="J17" s="56" t="s">
        <v>70</v>
      </c>
      <c r="K17" s="56" t="s">
        <v>76</v>
      </c>
      <c r="L17" s="56" t="s">
        <v>73</v>
      </c>
      <c r="M17" s="62" t="s">
        <v>77</v>
      </c>
      <c r="N17" s="56" t="s">
        <v>68</v>
      </c>
      <c r="P17" s="56" t="s">
        <v>71</v>
      </c>
      <c r="R17" s="56" t="s">
        <v>74</v>
      </c>
      <c r="T17" s="56" t="s">
        <v>69</v>
      </c>
      <c r="V17" s="56" t="s">
        <v>72</v>
      </c>
      <c r="X17" s="56" t="s">
        <v>74</v>
      </c>
    </row>
    <row r="18" spans="1:24" x14ac:dyDescent="0.25">
      <c r="A18" s="1">
        <v>17</v>
      </c>
      <c r="B18" s="56" t="s">
        <v>70</v>
      </c>
      <c r="C18" s="56" t="s">
        <v>76</v>
      </c>
      <c r="D18" s="56" t="s">
        <v>73</v>
      </c>
      <c r="E18" s="56" t="s">
        <v>76</v>
      </c>
      <c r="F18" s="56" t="s">
        <v>73</v>
      </c>
      <c r="G18" s="56" t="s">
        <v>76</v>
      </c>
      <c r="H18" s="56" t="s">
        <v>69</v>
      </c>
      <c r="I18" s="66"/>
      <c r="J18" s="56" t="s">
        <v>71</v>
      </c>
      <c r="K18" s="56" t="s">
        <v>76</v>
      </c>
      <c r="L18" s="56" t="s">
        <v>74</v>
      </c>
      <c r="M18" s="62" t="s">
        <v>77</v>
      </c>
      <c r="N18" s="56" t="s">
        <v>69</v>
      </c>
      <c r="P18" s="56" t="s">
        <v>72</v>
      </c>
      <c r="R18" s="56" t="s">
        <v>68</v>
      </c>
      <c r="T18" s="56" t="s">
        <v>70</v>
      </c>
      <c r="V18" s="56" t="s">
        <v>73</v>
      </c>
      <c r="X18" s="56" t="s">
        <v>68</v>
      </c>
    </row>
    <row r="19" spans="1:24" x14ac:dyDescent="0.25">
      <c r="A19" s="1">
        <v>18</v>
      </c>
      <c r="B19" s="56" t="s">
        <v>71</v>
      </c>
      <c r="C19" s="56" t="s">
        <v>76</v>
      </c>
      <c r="D19" s="56" t="s">
        <v>74</v>
      </c>
      <c r="E19" s="56" t="s">
        <v>77</v>
      </c>
      <c r="F19" s="56" t="s">
        <v>74</v>
      </c>
      <c r="G19" s="56" t="s">
        <v>77</v>
      </c>
      <c r="H19" s="56" t="s">
        <v>70</v>
      </c>
      <c r="I19" s="66">
        <v>0</v>
      </c>
      <c r="J19" s="56" t="s">
        <v>72</v>
      </c>
      <c r="K19" s="56" t="s">
        <v>78</v>
      </c>
      <c r="L19" s="56" t="s">
        <v>68</v>
      </c>
      <c r="M19" s="63"/>
      <c r="N19" s="56" t="s">
        <v>70</v>
      </c>
      <c r="P19" s="56" t="s">
        <v>73</v>
      </c>
      <c r="R19" s="56" t="s">
        <v>69</v>
      </c>
      <c r="T19" s="56" t="s">
        <v>71</v>
      </c>
      <c r="V19" s="56" t="s">
        <v>74</v>
      </c>
      <c r="X19" s="56" t="s">
        <v>69</v>
      </c>
    </row>
    <row r="20" spans="1:24" x14ac:dyDescent="0.25">
      <c r="A20" s="1">
        <v>19</v>
      </c>
      <c r="B20" s="56" t="s">
        <v>72</v>
      </c>
      <c r="C20" s="56" t="s">
        <v>77</v>
      </c>
      <c r="D20" s="56" t="s">
        <v>68</v>
      </c>
      <c r="E20" s="60"/>
      <c r="F20" s="56" t="s">
        <v>68</v>
      </c>
      <c r="G20" s="60"/>
      <c r="H20" s="56" t="s">
        <v>71</v>
      </c>
      <c r="I20" s="56" t="s">
        <v>77</v>
      </c>
      <c r="J20" s="56" t="s">
        <v>73</v>
      </c>
      <c r="K20" s="60"/>
      <c r="L20" s="56" t="s">
        <v>69</v>
      </c>
      <c r="M20" s="63"/>
      <c r="N20" s="56" t="s">
        <v>71</v>
      </c>
      <c r="P20" s="56" t="s">
        <v>74</v>
      </c>
      <c r="R20" s="56" t="s">
        <v>70</v>
      </c>
      <c r="T20" s="56" t="s">
        <v>72</v>
      </c>
      <c r="V20" s="56" t="s">
        <v>68</v>
      </c>
      <c r="X20" s="56" t="s">
        <v>70</v>
      </c>
    </row>
    <row r="21" spans="1:24" x14ac:dyDescent="0.25">
      <c r="A21" s="1">
        <v>20</v>
      </c>
      <c r="B21" s="56" t="s">
        <v>73</v>
      </c>
      <c r="C21" s="56" t="s">
        <v>77</v>
      </c>
      <c r="D21" s="56" t="s">
        <v>69</v>
      </c>
      <c r="E21" s="60"/>
      <c r="F21" s="56" t="s">
        <v>69</v>
      </c>
      <c r="G21" s="60"/>
      <c r="H21" s="56" t="s">
        <v>72</v>
      </c>
      <c r="I21" s="56" t="s">
        <v>76</v>
      </c>
      <c r="J21" s="56" t="s">
        <v>74</v>
      </c>
      <c r="K21" s="56" t="s">
        <v>77</v>
      </c>
      <c r="L21" s="56" t="s">
        <v>70</v>
      </c>
      <c r="M21" s="62" t="s">
        <v>76</v>
      </c>
      <c r="N21" s="56" t="s">
        <v>72</v>
      </c>
      <c r="P21" s="56" t="s">
        <v>68</v>
      </c>
      <c r="R21" s="56" t="s">
        <v>71</v>
      </c>
      <c r="T21" s="56" t="s">
        <v>73</v>
      </c>
      <c r="V21" s="56" t="s">
        <v>69</v>
      </c>
      <c r="X21" s="56" t="s">
        <v>71</v>
      </c>
    </row>
    <row r="22" spans="1:24" x14ac:dyDescent="0.25">
      <c r="A22" s="1">
        <v>21</v>
      </c>
      <c r="B22" s="56" t="s">
        <v>74</v>
      </c>
      <c r="C22" s="66"/>
      <c r="D22" s="56" t="s">
        <v>70</v>
      </c>
      <c r="E22" s="56" t="s">
        <v>76</v>
      </c>
      <c r="F22" s="56" t="s">
        <v>70</v>
      </c>
      <c r="G22" s="56" t="s">
        <v>76</v>
      </c>
      <c r="H22" s="56" t="s">
        <v>73</v>
      </c>
      <c r="I22" s="56" t="s">
        <v>78</v>
      </c>
      <c r="J22" s="56" t="s">
        <v>68</v>
      </c>
      <c r="K22" s="60"/>
      <c r="L22" s="56" t="s">
        <v>71</v>
      </c>
      <c r="M22" s="62" t="s">
        <v>78</v>
      </c>
      <c r="N22" s="56" t="s">
        <v>73</v>
      </c>
      <c r="P22" s="56" t="s">
        <v>69</v>
      </c>
      <c r="R22" s="56" t="s">
        <v>72</v>
      </c>
      <c r="T22" s="56" t="s">
        <v>74</v>
      </c>
      <c r="V22" s="56" t="s">
        <v>70</v>
      </c>
      <c r="X22" s="56" t="s">
        <v>72</v>
      </c>
    </row>
    <row r="23" spans="1:24" x14ac:dyDescent="0.25">
      <c r="A23" s="1">
        <v>22</v>
      </c>
      <c r="B23" s="56" t="s">
        <v>68</v>
      </c>
      <c r="C23" s="66"/>
      <c r="D23" s="56" t="s">
        <v>71</v>
      </c>
      <c r="E23" s="56" t="s">
        <v>76</v>
      </c>
      <c r="F23" s="56" t="s">
        <v>71</v>
      </c>
      <c r="G23" s="60"/>
      <c r="H23" s="56" t="s">
        <v>74</v>
      </c>
      <c r="I23" s="60"/>
      <c r="J23" s="56" t="s">
        <v>69</v>
      </c>
      <c r="K23" s="60"/>
      <c r="L23" s="56" t="s">
        <v>72</v>
      </c>
      <c r="M23" s="63"/>
      <c r="N23" s="56" t="s">
        <v>74</v>
      </c>
      <c r="P23" s="56" t="s">
        <v>70</v>
      </c>
      <c r="R23" s="56" t="s">
        <v>73</v>
      </c>
      <c r="T23" s="56" t="s">
        <v>68</v>
      </c>
      <c r="V23" s="56" t="s">
        <v>71</v>
      </c>
      <c r="X23" s="56" t="s">
        <v>73</v>
      </c>
    </row>
    <row r="24" spans="1:24" x14ac:dyDescent="0.25">
      <c r="A24" s="1">
        <v>23</v>
      </c>
      <c r="B24" s="56" t="s">
        <v>69</v>
      </c>
      <c r="C24" s="66"/>
      <c r="D24" s="56" t="s">
        <v>72</v>
      </c>
      <c r="E24" s="56" t="s">
        <v>78</v>
      </c>
      <c r="F24" s="56" t="s">
        <v>72</v>
      </c>
      <c r="G24" s="56" t="s">
        <v>76</v>
      </c>
      <c r="H24" s="56" t="s">
        <v>68</v>
      </c>
      <c r="I24" s="60"/>
      <c r="J24" s="56" t="s">
        <v>70</v>
      </c>
      <c r="K24" s="56" t="s">
        <v>76</v>
      </c>
      <c r="L24" s="56" t="s">
        <v>73</v>
      </c>
      <c r="M24" s="62" t="s">
        <v>76</v>
      </c>
      <c r="N24" s="56" t="s">
        <v>68</v>
      </c>
      <c r="P24" s="56" t="s">
        <v>71</v>
      </c>
      <c r="R24" s="56" t="s">
        <v>74</v>
      </c>
      <c r="T24" s="56" t="s">
        <v>69</v>
      </c>
      <c r="V24" s="56" t="s">
        <v>72</v>
      </c>
      <c r="X24" s="56" t="s">
        <v>74</v>
      </c>
    </row>
    <row r="25" spans="1:24" x14ac:dyDescent="0.25">
      <c r="A25" s="1">
        <v>24</v>
      </c>
      <c r="B25" s="56" t="s">
        <v>70</v>
      </c>
      <c r="C25" s="59" t="s">
        <v>76</v>
      </c>
      <c r="D25" s="56" t="s">
        <v>73</v>
      </c>
      <c r="E25" s="60"/>
      <c r="F25" s="56" t="s">
        <v>73</v>
      </c>
      <c r="G25" s="56" t="s">
        <v>77</v>
      </c>
      <c r="H25" s="56" t="s">
        <v>69</v>
      </c>
      <c r="I25" s="60"/>
      <c r="J25" s="56" t="s">
        <v>71</v>
      </c>
      <c r="K25" s="56" t="s">
        <v>76</v>
      </c>
      <c r="L25" s="56" t="s">
        <v>74</v>
      </c>
      <c r="M25" s="62" t="s">
        <v>77</v>
      </c>
      <c r="N25" s="56" t="s">
        <v>69</v>
      </c>
      <c r="P25" s="56" t="s">
        <v>72</v>
      </c>
      <c r="R25" s="56" t="s">
        <v>68</v>
      </c>
      <c r="T25" s="56" t="s">
        <v>70</v>
      </c>
      <c r="V25" s="56" t="s">
        <v>73</v>
      </c>
      <c r="X25" s="56" t="s">
        <v>68</v>
      </c>
    </row>
    <row r="26" spans="1:24" x14ac:dyDescent="0.25">
      <c r="A26" s="1">
        <v>25</v>
      </c>
      <c r="B26" s="56" t="s">
        <v>71</v>
      </c>
      <c r="C26" s="59" t="s">
        <v>77</v>
      </c>
      <c r="D26" s="56" t="s">
        <v>74</v>
      </c>
      <c r="E26" s="56" t="s">
        <v>77</v>
      </c>
      <c r="F26" s="56" t="s">
        <v>74</v>
      </c>
      <c r="G26" s="56" t="s">
        <v>77</v>
      </c>
      <c r="H26" s="56" t="s">
        <v>70</v>
      </c>
      <c r="I26" s="60" t="s">
        <v>79</v>
      </c>
      <c r="J26" s="56" t="s">
        <v>72</v>
      </c>
      <c r="K26" s="56" t="s">
        <v>77</v>
      </c>
      <c r="L26" s="56" t="s">
        <v>68</v>
      </c>
      <c r="M26" s="63"/>
      <c r="N26" s="56" t="s">
        <v>70</v>
      </c>
      <c r="P26" s="56" t="s">
        <v>73</v>
      </c>
      <c r="R26" s="56" t="s">
        <v>69</v>
      </c>
      <c r="T26" s="56" t="s">
        <v>71</v>
      </c>
      <c r="V26" s="56" t="s">
        <v>74</v>
      </c>
      <c r="X26" s="56" t="s">
        <v>69</v>
      </c>
    </row>
    <row r="27" spans="1:24" x14ac:dyDescent="0.25">
      <c r="A27" s="1">
        <v>26</v>
      </c>
      <c r="B27" s="56" t="s">
        <v>72</v>
      </c>
      <c r="C27" s="59" t="s">
        <v>76</v>
      </c>
      <c r="D27" s="56" t="s">
        <v>68</v>
      </c>
      <c r="E27" s="60"/>
      <c r="F27" s="56" t="s">
        <v>68</v>
      </c>
      <c r="G27" s="60"/>
      <c r="H27" s="56" t="s">
        <v>71</v>
      </c>
      <c r="I27" s="68" t="s">
        <v>80</v>
      </c>
      <c r="J27" s="56" t="s">
        <v>73</v>
      </c>
      <c r="K27" s="56" t="s">
        <v>77</v>
      </c>
      <c r="L27" s="56" t="s">
        <v>69</v>
      </c>
      <c r="M27" s="63"/>
      <c r="N27" s="56" t="s">
        <v>71</v>
      </c>
      <c r="P27" s="56" t="s">
        <v>74</v>
      </c>
      <c r="R27" s="56" t="s">
        <v>70</v>
      </c>
      <c r="T27" s="56" t="s">
        <v>72</v>
      </c>
      <c r="V27" s="56" t="s">
        <v>68</v>
      </c>
      <c r="X27" s="56" t="s">
        <v>70</v>
      </c>
    </row>
    <row r="28" spans="1:24" x14ac:dyDescent="0.25">
      <c r="A28" s="1">
        <v>27</v>
      </c>
      <c r="B28" s="56" t="s">
        <v>73</v>
      </c>
      <c r="C28" s="59" t="s">
        <v>78</v>
      </c>
      <c r="D28" s="56" t="s">
        <v>69</v>
      </c>
      <c r="E28" s="60"/>
      <c r="F28" s="56" t="s">
        <v>69</v>
      </c>
      <c r="G28" s="60"/>
      <c r="H28" s="56" t="s">
        <v>72</v>
      </c>
      <c r="I28" s="56" t="s">
        <v>77</v>
      </c>
      <c r="J28" s="56" t="s">
        <v>74</v>
      </c>
      <c r="K28" s="60"/>
      <c r="L28" s="56" t="s">
        <v>70</v>
      </c>
      <c r="M28" s="62" t="s">
        <v>76</v>
      </c>
      <c r="N28" s="56" t="s">
        <v>72</v>
      </c>
      <c r="P28" s="56" t="s">
        <v>68</v>
      </c>
      <c r="R28" s="56" t="s">
        <v>71</v>
      </c>
      <c r="T28" s="56" t="s">
        <v>73</v>
      </c>
      <c r="V28" s="56" t="s">
        <v>69</v>
      </c>
      <c r="X28" s="56" t="s">
        <v>71</v>
      </c>
    </row>
    <row r="29" spans="1:24" x14ac:dyDescent="0.25">
      <c r="A29" s="1">
        <v>28</v>
      </c>
      <c r="B29" s="56" t="s">
        <v>74</v>
      </c>
      <c r="C29" s="66"/>
      <c r="D29" s="56" t="s">
        <v>70</v>
      </c>
      <c r="E29" s="56" t="s">
        <v>76</v>
      </c>
      <c r="F29" s="56" t="s">
        <v>70</v>
      </c>
      <c r="G29" s="56" t="s">
        <v>76</v>
      </c>
      <c r="H29" s="56" t="s">
        <v>73</v>
      </c>
      <c r="I29" s="56" t="s">
        <v>76</v>
      </c>
      <c r="J29" s="56" t="s">
        <v>68</v>
      </c>
      <c r="K29" s="61"/>
      <c r="L29" s="56" t="s">
        <v>71</v>
      </c>
      <c r="M29" s="62" t="s">
        <v>76</v>
      </c>
      <c r="N29" s="56" t="s">
        <v>73</v>
      </c>
      <c r="P29" s="56" t="s">
        <v>69</v>
      </c>
      <c r="R29" s="56" t="s">
        <v>72</v>
      </c>
      <c r="T29" s="56" t="s">
        <v>74</v>
      </c>
      <c r="V29" s="56" t="s">
        <v>70</v>
      </c>
      <c r="X29" s="56" t="s">
        <v>72</v>
      </c>
    </row>
    <row r="30" spans="1:24" x14ac:dyDescent="0.25">
      <c r="A30" s="1">
        <v>29</v>
      </c>
      <c r="B30" s="56" t="s">
        <v>68</v>
      </c>
      <c r="C30" s="66"/>
      <c r="F30" s="56" t="s">
        <v>71</v>
      </c>
      <c r="G30" s="56" t="s">
        <v>78</v>
      </c>
      <c r="H30" s="56" t="s">
        <v>74</v>
      </c>
      <c r="I30" s="56" t="s">
        <v>77</v>
      </c>
      <c r="J30" s="56" t="s">
        <v>69</v>
      </c>
      <c r="K30" s="61"/>
      <c r="L30" s="56" t="s">
        <v>72</v>
      </c>
      <c r="M30" s="62" t="s">
        <v>78</v>
      </c>
      <c r="N30" s="56" t="s">
        <v>74</v>
      </c>
      <c r="P30" s="56" t="s">
        <v>70</v>
      </c>
      <c r="R30" s="56" t="s">
        <v>73</v>
      </c>
      <c r="T30" s="56" t="s">
        <v>68</v>
      </c>
      <c r="V30" s="56" t="s">
        <v>71</v>
      </c>
      <c r="X30" s="56" t="s">
        <v>73</v>
      </c>
    </row>
    <row r="31" spans="1:24" x14ac:dyDescent="0.25">
      <c r="A31" s="1">
        <v>30</v>
      </c>
      <c r="B31" s="56" t="s">
        <v>69</v>
      </c>
      <c r="C31" s="66"/>
      <c r="F31" s="56" t="s">
        <v>72</v>
      </c>
      <c r="G31" s="60"/>
      <c r="H31" s="56" t="s">
        <v>68</v>
      </c>
      <c r="I31" s="60"/>
      <c r="J31" s="56" t="s">
        <v>70</v>
      </c>
      <c r="K31" s="56" t="s">
        <v>76</v>
      </c>
      <c r="L31" s="56" t="s">
        <v>73</v>
      </c>
      <c r="M31" s="63"/>
      <c r="N31" s="56" t="s">
        <v>68</v>
      </c>
      <c r="P31" s="56" t="s">
        <v>71</v>
      </c>
      <c r="R31" s="56" t="s">
        <v>74</v>
      </c>
      <c r="T31" s="56" t="s">
        <v>69</v>
      </c>
      <c r="V31" s="56" t="s">
        <v>72</v>
      </c>
      <c r="X31" s="56" t="s">
        <v>74</v>
      </c>
    </row>
    <row r="32" spans="1:24" x14ac:dyDescent="0.25">
      <c r="A32" s="1">
        <v>31</v>
      </c>
      <c r="B32" s="56" t="s">
        <v>70</v>
      </c>
      <c r="C32" s="66"/>
      <c r="F32" s="56" t="s">
        <v>73</v>
      </c>
      <c r="G32" s="56" t="s">
        <v>76</v>
      </c>
      <c r="J32" s="56" t="s">
        <v>71</v>
      </c>
      <c r="K32" s="56" t="s">
        <v>77</v>
      </c>
      <c r="M32" s="62"/>
      <c r="N32" s="56" t="s">
        <v>69</v>
      </c>
      <c r="P32" s="56" t="s">
        <v>72</v>
      </c>
      <c r="T32" s="56" t="s">
        <v>70</v>
      </c>
      <c r="V32" s="56" t="s">
        <v>73</v>
      </c>
      <c r="X32" s="56" t="s">
        <v>68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Formulaire</vt:lpstr>
      <vt:lpstr>Paramètre</vt:lpstr>
      <vt:lpstr>Détail des heures</vt:lpstr>
      <vt:lpstr>planning perso</vt:lpstr>
      <vt:lpstr>Prénom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Alban</dc:creator>
  <cp:lastModifiedBy>Alban</cp:lastModifiedBy>
  <dcterms:created xsi:type="dcterms:W3CDTF">2022-01-05T14:05:27Z</dcterms:created>
  <dcterms:modified xsi:type="dcterms:W3CDTF">2023-05-25T16:44:31Z</dcterms:modified>
</cp:coreProperties>
</file>